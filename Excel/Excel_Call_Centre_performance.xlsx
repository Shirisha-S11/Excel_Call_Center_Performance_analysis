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hidePivotFieldList="1"/>
  <mc:AlternateContent xmlns:mc="http://schemas.openxmlformats.org/markup-compatibility/2006">
    <mc:Choice Requires="x15">
      <x15ac:absPath xmlns:x15ac="http://schemas.microsoft.com/office/spreadsheetml/2010/11/ac" url="https://d.docs.live.net/eb721ecc4c801f5c/Desktop/"/>
    </mc:Choice>
  </mc:AlternateContent>
  <xr:revisionPtr revIDLastSave="0" documentId="8_{DD4215F8-57C6-498C-BC63-8E9BB100C8F7}" xr6:coauthVersionLast="47" xr6:coauthVersionMax="47" xr10:uidLastSave="{00000000-0000-0000-0000-000000000000}"/>
  <bookViews>
    <workbookView xWindow="-110" yWindow="-110" windowWidth="19420" windowHeight="10300"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342" r:id="rId9"/>
    <pivotCache cacheId="345" r:id="rId10"/>
    <pivotCache cacheId="348" r:id="rId11"/>
    <pivotCache cacheId="351" r:id="rId12"/>
    <pivotCache cacheId="354" r:id="rId13"/>
  </pivotCaches>
  <fileRecoveryPr repairLoad="1"/>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2" i="5" l="1" a="1"/>
  <c r="Q22" i="5" s="1"/>
  <c r="P23" i="5" a="1"/>
  <c r="P23" i="5" s="1"/>
  <c r="G48" i="6"/>
  <c r="M23" i="5" s="1"/>
  <c r="G38" i="6"/>
  <c r="G40" i="6" s="1"/>
  <c r="G45" i="6" s="1"/>
  <c r="M29" i="5" s="1"/>
  <c r="G37" i="6"/>
  <c r="G39" i="6" s="1"/>
  <c r="G44" i="6" s="1"/>
  <c r="M28" i="5" s="1"/>
  <c r="G36" i="6"/>
  <c r="G43" i="6" s="1"/>
  <c r="M27" i="5" s="1"/>
  <c r="H23" i="6"/>
  <c r="I25"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25" i="6" l="1"/>
  <c r="H28" i="6"/>
  <c r="H26" i="6"/>
  <c r="I28" i="6"/>
  <c r="H27" i="6"/>
  <c r="I27" i="6"/>
  <c r="I26" i="6"/>
  <c r="H29" i="6"/>
  <c r="I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267103-A988-4BE5-B475-2FE43D71E0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220184-1039-443E-ABE7-515489E48945}"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6BD2B93-8F99-4FF3-8CBA-D500241B2D8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<sst xmlns="http://schemas.openxmlformats.org/spreadsheetml/2006/main" count="3185" uniqueCount="1091">
  <si>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</si>
  <si>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</si>
  <si>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</si>
  <si>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</si>
  <si>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</si>
  <si>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</si>
  <si>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</si>
  <si>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</si>
  <si>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</si>
  <si>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</si>
  <si>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</si>
  <si>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</si>
  <si>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</si>
  <si>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</si>
  <si>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</si>
  <si>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</si>
  <si>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</si>
  <si>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</si>
  <si>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</si>
  <si>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</si>
  <si>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</si>
  <si>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</si>
  <si>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</si>
  <si>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</si>
  <si>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</si>
  <si>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</si>
  <si>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</si>
  <si>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</si>
  <si>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</si>
  <si>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</si>
  <si>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</si>
  <si>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</si>
  <si>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</si>
  <si>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</si>
  <si>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</si>
  <si>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</si>
  <si>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</si>
  <si>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</si>
  <si>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</si>
  <si>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</si>
  <si>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</si>
  <si>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</si>
  <si>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</si>
  <si>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</si>
  <si>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</si>
  <si>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</si>
  <si>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</si>
  <si>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</si>
  <si>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</si>
  <si>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</si>
  <si>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</si>
  <si>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</si>
  <si>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</si>
  <si>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</si>
  <si>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</si>
  <si>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</si>
  <si>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</si>
  <si>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</si>
  <si>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</si>
  <si>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</si>
  <si>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</si>
  <si>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</si>
  <si>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</si>
  <si>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</si>
  <si>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</si>
  <si>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</si>
  <si>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</si>
  <si>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</si>
  <si>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</si>
  <si>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</si>
  <si>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</si>
  <si>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</si>
  <si>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</si>
  <si>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</si>
  <si>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</si>
  <si>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</si>
  <si>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</si>
  <si>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</si>
  <si>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</si>
  <si>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</si>
  <si>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</si>
  <si>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</si>
  <si>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</si>
  <si>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</si>
  <si>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</si>
  <si>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</si>
  <si>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</si>
  <si>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</si>
  <si>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</si>
  <si>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</si>
  <si>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</si>
  <si>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</si>
  <si>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</si>
  <si>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</si>
  <si>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</si>
  <si>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</si>
  <si>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</si>
  <si>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</si>
  <si>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</si>
  <si>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</si>
  <si>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</si>
  <si>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</si>
  <si>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</si>
  <si>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</si>
  <si>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</si>
  <si>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</si>
  <si>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</si>
  <si>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</si>
  <si>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</si>
  <si>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</si>
  <si>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</si>
  <si>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</si>
  <si>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</si>
  <si>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</si>
  <si>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</si>
  <si>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</si>
  <si>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</si>
  <si>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</si>
  <si>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</si>
  <si>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</si>
  <si>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</si>
  <si>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</si>
  <si>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</si>
  <si>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</si>
  <si>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</si>
  <si>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</si>
  <si>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</si>
  <si>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</si>
  <si>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</si>
  <si>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</si>
  <si>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</si>
  <si>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</si>
  <si>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</si>
  <si>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</si>
  <si>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</si>
  <si>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</si>
  <si>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</si>
  <si>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</si>
  <si>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</si>
  <si>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</si>
  <si>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</si>
  <si>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</si>
  <si>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</si>
  <si>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</si>
  <si>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</si>
  <si>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</si>
  <si>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</si>
  <si>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</si>
  <si>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</si>
  <si>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</si>
  <si>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</si>
  <si>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</si>
  <si>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</si>
  <si>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</si>
  <si>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</si>
  <si>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</si>
  <si>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</si>
  <si>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</si>
  <si>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</si>
  <si>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</si>
  <si>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</si>
  <si>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</si>
  <si>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</si>
  <si>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</si>
  <si>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</si>
  <si>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</si>
  <si>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</si>
  <si>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</si>
  <si>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</si>
  <si>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</si>
  <si>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</si>
  <si>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</si>
  <si>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</si>
  <si>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</si>
  <si>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</si>
  <si>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</si>
  <si>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</si>
  <si>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</si>
  <si>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</si>
  <si>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</si>
  <si>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</si>
  <si>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</si>
  <si>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</si>
  <si>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</si>
  <si>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</si>
  <si>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</si>
  <si>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</si>
  <si>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</si>
  <si>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</si>
  <si>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</si>
  <si>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</si>
  <si>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</si>
  <si>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</si>
  <si>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</si>
  <si>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</si>
  <si>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</si>
  <si>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</si>
  <si>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</si>
  <si>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</si>
  <si>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</si>
  <si>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</si>
  <si>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</si>
  <si>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</si>
  <si>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</si>
  <si>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</si>
  <si>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</si>
  <si>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</si>
  <si>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</si>
  <si>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</si>
  <si>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</si>
  <si>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</si>
  <si>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</si>
  <si>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</si>
  <si>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</si>
  <si>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</si>
  <si>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</si>
  <si>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</si>
  <si>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</si>
  <si>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</si>
  <si>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</si>
  <si>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</si>
  <si>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</si>
  <si>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</si>
  <si>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</si>
  <si>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</si>
  <si>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</si>
  <si>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</si>
  <si>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</si>
  <si>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</si>
  <si>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</si>
  <si>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</si>
  <si>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</si>
  <si>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</si>
  <si>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</si>
  <si>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</si>
  <si>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</si>
  <si>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</si>
  <si>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</si>
  <si>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</si>
  <si>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</si>
  <si>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</si>
  <si>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</si>
  <si>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</si>
  <si>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</si>
  <si>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</si>
  <si>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</si>
  <si>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</si>
  <si>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</si>
  <si>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</si>
  <si>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</si>
  <si>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</si>
  <si>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</si>
  <si>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</si>
  <si>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</si>
  <si>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</si>
  <si>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</si>
  <si>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</si>
  <si>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</si>
  <si>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</si>
  <si>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</si>
  <si>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</si>
  <si>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</si>
  <si>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</si>
  <si>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</si>
  <si>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</si>
  <si>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</si>
  <si>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</si>
  <si>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</si>
  <si>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</si>
  <si>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</si>
  <si>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</si>
  <si>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</si>
  <si>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</si>
  <si>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</si>
  <si>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</si>
  <si>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</si>
  <si>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</si>
  <si>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</si>
  <si>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</si>
  <si>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</si>
  <si>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</si>
  <si>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</si>
  <si>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</si>
  <si>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</si>
  <si>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</si>
  <si>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</si>
  <si>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</si>
  <si>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</si>
  <si>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</si>
  <si>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</si>
  <si>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</si>
  <si>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</si>
  <si>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</si>
  <si>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</si>
  <si>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</si>
  <si>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</si>
  <si>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</si>
  <si>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</si>
  <si>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</si>
  <si>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</si>
  <si>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</si>
  <si>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</si>
  <si>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</si>
  <si>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</si>
  <si>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</si>
  <si>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</si>
  <si>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</si>
  <si>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</si>
  <si>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</si>
  <si>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</si>
  <si>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</si>
  <si>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</si>
  <si>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</si>
  <si>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</si>
  <si>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</si>
  <si>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</si>
  <si>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</si>
  <si>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</si>
  <si>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</si>
  <si>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</si>
  <si>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</si>
  <si>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</si>
  <si>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</si>
  <si>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</si>
  <si>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</si>
  <si>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</si>
  <si>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</si>
  <si>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</si>
  <si>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</si>
  <si>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</si>
  <si>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</si>
  <si>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</si>
  <si>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</si>
  <si>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</si>
  <si>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</si>
  <si>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</si>
  <si>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</si>
  <si>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</si>
  <si>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</si>
  <si>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</si>
  <si>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</si>
  <si>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</si>
  <si>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</si>
  <si>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</si>
  <si>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</si>
  <si>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</si>
  <si>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</si>
  <si>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</si>
  <si>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</si>
  <si>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</si>
  <si>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</si>
  <si>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</si>
  <si>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</si>
  <si>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</si>
  <si>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</si>
  <si>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</si>
  <si>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</si>
  <si>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</si>
  <si>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</si>
  <si>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</si>
  <si>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</si>
  <si>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</si>
  <si>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</si>
  <si>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</si>
  <si>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</si>
  <si>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</si>
  <si>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</si>
  <si>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</si>
  <si>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</si>
  <si>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</si>
  <si>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</si>
  <si>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</si>
  <si>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</si>
  <si>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</si>
  <si>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</si>
  <si>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</si>
  <si>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</si>
  <si>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</si>
  <si>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</si>
  <si>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</si>
  <si>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</si>
  <si>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</si>
  <si>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</si>
  <si>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</si>
  <si>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</si>
  <si>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</si>
  <si>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</si>
  <si>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</si>
  <si>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</si>
  <si>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</si>
  <si>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</si>
  <si>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</si>
  <si>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</si>
  <si>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</si>
  <si>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</si>
  <si>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</si>
  <si>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</si>
  <si>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</si>
  <si>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</si>
  <si>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</si>
  <si>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</si>
  <si>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</si>
  <si>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</si>
  <si>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</si>
  <si>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</si>
  <si>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</si>
  <si>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</si>
  <si>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</si>
  <si>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</si>
  <si>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</si>
  <si>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</si>
  <si>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</si>
  <si>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</si>
  <si>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</si>
  <si>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</si>
  <si>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</si>
  <si>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</si>
  <si>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</si>
  <si>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</si>
  <si>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</si>
  <si>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</si>
  <si>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</si>
  <si>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</si>
  <si>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</si>
  <si>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</si>
  <si>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</si>
  <si>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</si>
  <si>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</si>
  <si>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</si>
  <si>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</si>
  <si>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</si>
  <si>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</si>
  <si>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</si>
  <si>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</si>
  <si>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</si>
  <si>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</si>
  <si>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</si>
  <si>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</si>
  <si>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</si>
  <si>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</si>
  <si>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</si>
  <si>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</si>
  <si>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</si>
  <si>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</si>
  <si>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</si>
  <si>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</si>
  <si>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</si>
  <si>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</si>
  <si>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</si>
  <si>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</si>
  <si>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</si>
  <si>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</si>
  <si>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</si>
  <si>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</si>
  <si>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</si>
  <si>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</si>
  <si>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</si>
  <si>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</si>
  <si>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</si>
  <si>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</si>
  <si>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</si>
  <si>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</si>
  <si>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</si>
  <si>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</si>
  <si>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</si>
  <si>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</si>
  <si>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</si>
  <si>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</si>
  <si>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</si>
  <si>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</si>
  <si>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</si>
  <si>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</si>
  <si>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</si>
  <si>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</si>
  <si>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</si>
  <si>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</si>
  <si>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</si>
  <si>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</si>
  <si>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</si>
  <si>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</si>
  <si>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</si>
  <si>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</si>
  <si>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</si>
  <si>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</si>
  <si>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</si>
  <si>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</si>
  <si>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</si>
  <si>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</si>
  <si>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</si>
  <si>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</si>
  <si>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</si>
  <si>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</si>
  <si>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</si>
  <si>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</si>
  <si>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</si>
  <si>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</si>
  <si>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</si>
  <si>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</si>
  <si>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</si>
  <si>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</si>
  <si>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</si>
  <si>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</si>
  <si>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</si>
  <si>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</si>
  <si>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</si>
  <si>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</si>
  <si>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</si>
  <si>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</si>
  <si>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</si>
  <si>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</si>
  <si>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</si>
  <si>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</si>
  <si>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</si>
  <si>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</si>
  <si>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</si>
  <si>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</si>
  <si>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</si>
  <si>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</si>
  <si>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</si>
  <si>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</si>
  <si>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</si>
  <si>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</si>
  <si>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</si>
  <si>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</si>
  <si>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</si>
  <si>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</si>
  <si>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</si>
  <si>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</si>
  <si>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</si>
  <si>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</si>
  <si>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</si>
  <si>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</si>
  <si>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</si>
  <si>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</si>
  <si>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</si>
  <si>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</si>
  <si>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</si>
  <si>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</si>
  <si>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</si>
  <si>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</si>
  <si>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</si>
  <si>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</si>
  <si>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</si>
  <si>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</si>
  <si>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</si>
  <si>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</si>
  <si>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</si>
  <si>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</si>
  <si>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</si>
  <si>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</si>
  <si>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</si>
  <si>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</si>
  <si>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</si>
  <si>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</si>
  <si>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</si>
  <si>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</si>
  <si>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</si>
  <si>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</si>
  <si>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</si>
  <si>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</si>
  <si>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</si>
  <si>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</si>
  <si>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</si>
  <si>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</si>
  <si>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</si>
  <si>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</si>
  <si>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</si>
  <si>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</si>
  <si>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</si>
  <si>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</si>
  <si>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</si>
  <si>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</si>
  <si>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</si>
  <si>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</si>
  <si>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</si>
  <si>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</si>
  <si>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</si>
  <si>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</si>
  <si>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</si>
  <si>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</si>
  <si>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</si>
  <si>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</si>
  <si>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</si>
  <si>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</si>
  <si>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</si>
  <si>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</si>
  <si>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</si>
  <si>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</si>
  <si>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</si>
  <si>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</si>
  <si>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</si>
  <si>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</si>
  <si>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</si>
  <si>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</si>
  <si>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</si>
  <si>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</si>
  <si>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</si>
  <si>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</si>
  <si>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</si>
  <si>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</si>
  <si>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</si>
  <si>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</si>
  <si>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</si>
  <si>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</si>
  <si>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</si>
  <si>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</si>
  <si>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</si>
  <si>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</si>
  <si>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</si>
  <si>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</si>
  <si>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</si>
  <si>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</si>
  <si>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</si>
  <si>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</si>
  <si>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</si>
  <si>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</si>
  <si>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</si>
  <si>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</si>
  <si>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</si>
  <si>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</si>
  <si>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</si>
  <si>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</si>
  <si>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</si>
  <si>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</si>
  <si>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</si>
  <si>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</si>
  <si>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</si>
  <si>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</si>
  <si>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</si>
  <si>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</si>
  <si>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</si>
  <si>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</si>
  <si>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</si>
  <si>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</si>
  <si>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</si>
  <si>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</si>
  <si>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</si>
  <si>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</si>
  <si>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</si>
  <si>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</si>
  <si>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</si>
  <si>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</si>
  <si>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</si>
  <si>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</si>
  <si>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</si>
  <si>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</si>
  <si>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</si>
  <si>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</si>
  <si>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</si>
  <si>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</si>
  <si>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</si>
  <si>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</si>
  <si>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</si>
  <si>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</si>
  <si>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</si>
  <si>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</si>
  <si>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</si>
  <si>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</si>
  <si>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</si>
  <si>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</si>
  <si>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</si>
  <si>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</si>
  <si>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</si>
  <si>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</si>
  <si>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</si>
  <si>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</si>
  <si>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</si>
  <si>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</si>
  <si>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</si>
  <si>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</si>
  <si>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</si>
  <si>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</si>
  <si>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</si>
  <si>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</si>
  <si>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</si>
  <si>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</si>
  <si>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</si>
  <si>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</si>
  <si>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</si>
  <si>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</si>
  <si>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</si>
  <si>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</si>
  <si>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</si>
  <si>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</si>
  <si>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</si>
  <si>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</si>
  <si>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</si>
  <si>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</si>
  <si>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</si>
  <si>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</si>
  <si>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</si>
  <si>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</si>
  <si>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</si>
  <si>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</si>
  <si>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</si>
  <si>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</si>
  <si>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</si>
  <si>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</si>
  <si>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</si>
  <si>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</si>
  <si>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</si>
  <si>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</si>
  <si>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</si>
  <si>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</si>
  <si>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</si>
  <si>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</si>
  <si>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</si>
  <si>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</si>
  <si>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</si>
  <si>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</si>
  <si>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</si>
  <si>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</si>
  <si>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</si>
  <si>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</si>
  <si>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</si>
  <si>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</si>
  <si>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</si>
  <si>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</si>
  <si>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</si>
  <si>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</si>
  <si>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</si>
  <si>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</si>
  <si>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</si>
  <si>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</si>
  <si>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</si>
  <si>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</si>
  <si>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</si>
  <si>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</si>
  <si>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</si>
  <si>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</si>
  <si>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</si>
  <si>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</si>
  <si>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</si>
  <si>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</si>
  <si>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</si>
  <si>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</si>
  <si>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</si>
  <si>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</si>
  <si>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</si>
  <si>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</si>
  <si>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</si>
  <si>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</si>
  <si>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</si>
  <si>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</si>
  <si>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</si>
  <si>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</si>
  <si>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</si>
  <si>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</si>
  <si>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</si>
  <si>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</si>
  <si>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</si>
  <si>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</si>
  <si>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</si>
  <si>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</si>
  <si>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</si>
  <si>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</si>
  <si>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</si>
  <si>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</si>
  <si>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</si>
  <si>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</si>
  <si>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</si>
  <si>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</si>
  <si>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</si>
  <si>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</si>
  <si>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</si>
  <si>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</si>
  <si>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</si>
  <si>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</si>
  <si>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</si>
  <si>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</si>
  <si>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</si>
  <si>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</si>
  <si>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</si>
  <si>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</si>
  <si>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</si>
  <si>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</si>
  <si>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</si>
  <si>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</si>
  <si>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</si>
  <si>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</si>
  <si>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</si>
  <si>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</si>
  <si>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</si>
  <si>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</si>
  <si>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</si>
  <si>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</si>
  <si>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</si>
  <si>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</si>
  <si>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</si>
  <si>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</si>
  <si>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</si>
  <si>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</si>
  <si>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</si>
  <si>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</si>
  <si>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</si>
  <si>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</si>
  <si>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</si>
  <si>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</si>
  <si>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</si>
  <si>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</si>
  <si>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</si>
  <si>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</si>
  <si>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</si>
  <si>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</si>
  <si>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</si>
  <si>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</si>
  <si>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</si>
  <si>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</si>
  <si>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</si>
  <si>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</si>
  <si>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</si>
  <si>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</si>
  <si>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</si>
  <si>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</si>
  <si>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</si>
  <si>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</si>
  <si>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</si>
  <si>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</si>
  <si>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</si>
  <si>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</si>
  <si>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</si>
  <si>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</si>
  <si>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</si>
  <si>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</si>
  <si>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</si>
  <si>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</si>
  <si>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</si>
  <si>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</si>
  <si>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</si>
  <si>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</si>
  <si>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</si>
  <si>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</si>
  <si>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</si>
  <si>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</si>
  <si>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</si>
  <si>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</si>
  <si>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</si>
  <si>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</si>
  <si>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</si>
  <si>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</si>
  <si>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</si>
  <si>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</si>
  <si>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</si>
  <si>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</si>
  <si>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</si>
  <si>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</si>
  <si>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</si>
  <si>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</si>
  <si>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</si>
  <si>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</si>
  <si>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</si>
  <si>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</si>
  <si>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</si>
  <si>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</si>
  <si>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</si>
  <si>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</si>
  <si>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</si>
  <si>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</si>
  <si>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</si>
  <si>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</si>
  <si>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</si>
  <si>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</si>
  <si>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</si>
  <si>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</si>
  <si>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</si>
  <si>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</si>
  <si>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</si>
  <si>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</si>
  <si>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</si>
  <si>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</si>
  <si>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</si>
  <si>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</si>
  <si>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</si>
  <si>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</si>
  <si>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</si>
  <si>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</si>
  <si>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</si>
  <si>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</si>
  <si>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</si>
  <si>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</si>
  <si>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</si>
  <si>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</si>
  <si>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</si>
  <si>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</si>
  <si>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</si>
  <si>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</si>
  <si>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</si>
  <si>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</si>
  <si>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</si>
  <si>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</si>
  <si>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</si>
  <si>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</si>
  <si>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</si>
  <si>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</si>
  <si>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</si>
  <si>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</si>
  <si>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</si>
  <si>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</si>
  <si>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</si>
  <si>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</si>
  <si>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</si>
  <si>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</si>
  <si>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</si>
  <si>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</si>
  <si>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</si>
  <si>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</si>
  <si>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</si>
  <si>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</si>
  <si>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</si>
  <si>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</si>
  <si>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</si>
  <si>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</si>
  <si>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</si>
  <si>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</si>
  <si>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</si>
  <si>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</si>
  <si>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</si>
  <si>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</si>
  <si>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</si>
  <si>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</si>
  <si>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</si>
  <si>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</si>
  <si>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</si>
  <si>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</si>
  <si>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</si>
  <si>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</si>
  <si>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</si>
  <si>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</si>
  <si>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</si>
  <si>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</si>
  <si>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</si>
  <si>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</si>
  <si>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</si>
  <si>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</si>
  <si>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</si>
  <si>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</si>
  <si>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</si>
  <si>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</si>
  <si>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</si>
  <si>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</si>
  <si>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</si>
  <si>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</si>
  <si>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</si>
  <si>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</si>
  <si>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</si>
  <si>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</si>
  <si>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</si>
  <si>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</si>
  <si>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</si>
  <si>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</si>
  <si>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</si>
  <si>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</si>
  <si>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</si>
  <si>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</si>
  <si>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</si>
  <si>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</si>
  <si>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</si>
  <si>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</si>
  <si>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</si>
  <si>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</si>
  <si>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</si>
  <si>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</si>
  <si>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</si>
  <si>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</si>
  <si>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</si>
  <si>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</si>
  <si>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</si>
  <si>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</si>
  <si>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</si>
  <si>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</si>
  <si>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</si>
  <si>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</si>
  <si>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</si>
  <si>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</si>
  <si>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</si>
  <si>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</si>
  <si>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</si>
  <si>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</si>
  <si>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</si>
  <si>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</si>
  <si>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</si>
  <si>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</si>
  <si>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</si>
  <si>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</si>
  <si>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</si>
  <si>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</si>
  <si>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</si>
  <si>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</si>
  <si>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</si>
  <si>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</si>
  <si>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</si>
  <si>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</si>
  <si>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</si>
  <si>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</si>
  <si>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</si>
  <si>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</si>
  <si>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</si>
  <si>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</si>
  <si>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</si>
  <si>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</si>
  <si>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</si>
  <si>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</si>
  <si>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</si>
  <si>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</si>
  <si>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</si>
  <si>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</si>
  <si>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</si>
  <si>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</si>
  <si>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</si>
  <si>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</si>
  <si>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</si>
  <si>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</si>
  <si>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</si>
  <si>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</si>
  <si>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</si>
  <si>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</si>
  <si>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</si>
  <si>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</si>
  <si>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</si>
  <si>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</si>
  <si>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</si>
  <si>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</si>
  <si>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</si>
  <si>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</si>
  <si>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</si>
  <si>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</si>
  <si>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</si>
  <si>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</si>
  <si>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</si>
  <si>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</si>
  <si>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</si>
  <si>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</si>
  <si>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</si>
  <si>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</si>
  <si>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</si>
  <si>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</si>
  <si>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</si>
  <si>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</si>
  <si>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</si>
  <si>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</si>
  <si>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</si>
  <si>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</si>
  <si>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</si>
  <si>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</si>
  <si>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</si>
  <si>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</si>
  <si>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</si>
  <si>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</si>
  <si>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</si>
  <si>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</si>
  <si>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</si>
  <si>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</si>
  <si>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</si>
  <si>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</si>
  <si>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</si>
  <si>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</si>
  <si>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</si>
  <si>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</si>
  <si>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</si>
  <si>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</si>
  <si>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</si>
  <si>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</si>
  <si>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</si>
  <si>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</si>
  <si>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</si>
  <si>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</si>
  <si>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</si>
  <si>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</si>
  <si>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</si>
  <si>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</si>
  <si>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</si>
  <si>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</si>
  <si>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</si>
  <si>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sell.calls</t>
  </si>
  <si>
    <t>sell.amount</t>
  </si>
  <si>
    <t>Select Rep</t>
  </si>
  <si>
    <t>Column Labels</t>
  </si>
  <si>
    <t>Total</t>
  </si>
  <si>
    <t>Rep Summary</t>
  </si>
  <si>
    <t>% of calls</t>
  </si>
  <si>
    <t>Calls</t>
  </si>
  <si>
    <t xml:space="preserve">Amount </t>
  </si>
  <si>
    <t>call rank</t>
  </si>
  <si>
    <t>amount rank</t>
  </si>
  <si>
    <t>Labels:</t>
  </si>
  <si>
    <t>Image</t>
  </si>
  <si>
    <t>Call Centre report 2026</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</si>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</sst>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9" formatCode="[$$-1009]#,##0"/>
  </numFmts>
  <fonts count="7">
    <font>
      <sz val="11"/>
      <color theme="1"/>
      <name val="Aptos "/>
      <family val="2"/>
      <scheme val="minor"/>
    </font>
    <font>
      <b/>
      <sz val="11"/>
      <color theme="1"/>
      <name val="Aptos "/>
      <family val="2"/>
      <scheme val="minor"/>
    </font>
    <font>
      <sz val="8"/>
      <name val="Aptos "/>
      <family val="2"/>
      <scheme val="minor"/>
    </font>
    <font>
      <sz val="18"/>
      <color theme="1"/>
      <name val="Aptos ExtraBold"/>
      <family val="2"/>
    </font>
    <font>
      <sz val="11"/>
      <color theme="1"/>
      <name val="Aptos "/>
      <family val="2"/>
      <scheme val="minor"/>
    </font>
    <font>
      <sz val="10"/>
      <color theme="1"/>
      <name val="Aptos "/>
      <family val="2"/>
      <scheme val="minor"/>
    </font>
    <font>
      <b/>
      <sz val="22"/>
      <color theme="1"/>
      <name val="Aptos "/>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9" fontId="0" fillId="0" borderId="0" xfId="1" applyFont="1"/>
    <xf numFmtId="0" fontId="6" fillId="3" borderId="0" xfId="0" applyFont="1" applyFill="1" applyAlignment="1">
      <alignment horizontal="left" vertical="center" indent="5"/>
    </xf>
    <xf numFmtId="0" fontId="0" fillId="3" borderId="0" xfId="0" applyFill="1" applyAlignment="1">
      <alignment horizontal="left" indent="1"/>
    </xf>
    <xf numFmtId="0" fontId="0" fillId="3" borderId="0" xfId="0" applyFill="1" applyAlignment="1">
      <alignment horizontal="left" indent="2"/>
    </xf>
    <xf numFmtId="0" fontId="0" fillId="3" borderId="0" xfId="0" applyFill="1" applyAlignment="1">
      <alignment horizontal="center"/>
    </xf>
    <xf numFmtId="0" fontId="0" fillId="3" borderId="0" xfId="0" applyFill="1" applyAlignment="1">
      <alignment horizontal="center" vertical="center"/>
    </xf>
    <xf numFmtId="0" fontId="0" fillId="4" borderId="9" xfId="0" applyFill="1" applyBorder="1"/>
    <xf numFmtId="0" fontId="0" fillId="4" borderId="10" xfId="0" applyFill="1" applyBorder="1"/>
    <xf numFmtId="0" fontId="0" fillId="4" borderId="7" xfId="0" applyFill="1" applyBorder="1"/>
    <xf numFmtId="0" fontId="5" fillId="4" borderId="11" xfId="0" applyFont="1" applyFill="1" applyBorder="1"/>
    <xf numFmtId="0" fontId="5" fillId="4" borderId="0" xfId="0" applyFont="1" applyFill="1" applyBorder="1"/>
    <xf numFmtId="0" fontId="5" fillId="4" borderId="12" xfId="0" applyFont="1" applyFill="1" applyBorder="1"/>
    <xf numFmtId="0" fontId="5" fillId="4" borderId="11" xfId="0" applyFont="1" applyFill="1" applyBorder="1" applyAlignment="1">
      <alignment horizontal="center" vertical="center"/>
    </xf>
    <xf numFmtId="169" fontId="5" fillId="4" borderId="0" xfId="0" applyNumberFormat="1" applyFont="1" applyFill="1" applyBorder="1"/>
    <xf numFmtId="169" fontId="5" fillId="4" borderId="12" xfId="0" applyNumberFormat="1" applyFont="1" applyFill="1" applyBorder="1"/>
    <xf numFmtId="0" fontId="0" fillId="4" borderId="11" xfId="0" applyFill="1" applyBorder="1"/>
    <xf numFmtId="0" fontId="0" fillId="4" borderId="0" xfId="0" applyFill="1" applyBorder="1"/>
    <xf numFmtId="0" fontId="0" fillId="4" borderId="12" xfId="0" applyFill="1" applyBorder="1"/>
    <xf numFmtId="0" fontId="0" fillId="4" borderId="6" xfId="0" applyFill="1" applyBorder="1"/>
    <xf numFmtId="0" fontId="0" fillId="4" borderId="13" xfId="0" applyFill="1" applyBorder="1"/>
    <xf numFmtId="0" fontId="0" fillId="4" borderId="4" xfId="0" applyFill="1" applyBorder="1"/>
  </cellXfs>
  <cellStyles count="2">
    <cellStyle name="Normal" xfId="0" builtinId="0"/>
    <cellStyle name="Per cent" xfId="1" builtinId="5"/>
  </cellStyles>
  <dxfs count="18">
    <dxf>
      <fill>
        <patternFill>
          <bgColor theme="4"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2 2" pivot="0" table="0" count="10" xr9:uid="{9AC6604F-E513-4AB6-8A84-7EB637C21183}">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[Excel_Call_Centre_performance.xlsx]Pivots!Weekly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Pivots!$F$11</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Pivots!$E$12:$E$19</c:f>
              <c:strCache>
                <c:ptCount val="7"/>
                <c:pt idx="0">
                  <c:v>Monday</c:v>
                </c:pt>
                <c:pt idx="1">
                  <c:v>Tuesday</c:v>
                </c:pt>
                <c:pt idx="2">
                  <c:v>Wednesday</c:v>
                </c:pt>
                <c:pt idx="3">
                  <c:v>Thursday</c:v>
                </c:pt>
                <c:pt idx="4">
                  <c:v>Friday</c:v>
                </c:pt>
                <c:pt idx="5">
                  <c:v>Saturday</c:v>
                </c:pt>
                <c:pt idx="6">
                  <c:v>Sunday</c:v>
                </c:pt>
              </c:strCache>
            </c:strRef>
          </c:cat>
          <c:val>
            <c:numRef>
              <c:f>Pivots!$F$12:$F$19</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C8EA-4D40-8CB0-9629C9F65D7B}"/>
            </c:ext>
          </c:extLst>
        </c:ser>
        <c:dLbls>
          <c:showLegendKey val="0"/>
          <c:showVal val="0"/>
          <c:showCatName val="0"/>
          <c:showSerName val="0"/>
          <c:showPercent val="0"/>
          <c:showBubbleSize val="0"/>
        </c:dLbls>
        <c:gapWidth val="25"/>
        <c:axId val="930943488"/>
        <c:axId val="930932928"/>
      </c:barChart>
      <c:catAx>
        <c:axId val="93094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932928"/>
        <c:crosses val="autoZero"/>
        <c:auto val="1"/>
        <c:lblAlgn val="ctr"/>
        <c:lblOffset val="100"/>
        <c:noMultiLvlLbl val="0"/>
      </c:catAx>
      <c:valAx>
        <c:axId val="930932928"/>
        <c:scaling>
          <c:orientation val="minMax"/>
        </c:scaling>
        <c:delete val="1"/>
        <c:axPos val="b"/>
        <c:numFmt formatCode="#,##0" sourceLinked="1"/>
        <c:majorTickMark val="out"/>
        <c:minorTickMark val="none"/>
        <c:tickLblPos val="nextTo"/>
        <c:crossAx val="93094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[Excel_Call_Centre_performance.xlsx]Pivots!Monthly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Call</a:t>
            </a:r>
            <a:r>
              <a:rPr lang="en-US" baseline="0"/>
              <a:t> </a:t>
            </a:r>
            <a:r>
              <a:rPr lang="en-US" baseline="0">
                <a:solidFill>
                  <a:schemeClr val="bg1"/>
                </a:solidFill>
              </a:rPr>
              <a:t>Trend</a:t>
            </a:r>
            <a:endParaRPr lang="en-US">
              <a:solidFill>
                <a:schemeClr val="bg1"/>
              </a:solidFill>
            </a:endParaRP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110000"/>
                  <a:satMod val="105000"/>
                  <a:tint val="67000"/>
                </a:schemeClr>
              </a:gs>
              <a:gs pos="100000">
                <a:schemeClr val="accent2">
                  <a:satMod val="103000"/>
                  <a:tint val="73000"/>
                  <a:alpha val="50000"/>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7"/>
          <c:spPr>
            <a:solidFill>
              <a:schemeClr val="bg1">
                <a:lumMod val="95000"/>
              </a:schemeClr>
            </a:solidFill>
            <a:ln w="25400">
              <a:solidFill>
                <a:schemeClr val="bg2">
                  <a:lumMod val="1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58164546299372E-2"/>
          <c:y val="0.1944921614192848"/>
          <c:w val="0.89726477011579542"/>
          <c:h val="0.6842805666429802"/>
        </c:manualLayout>
      </c:layout>
      <c:areaChart>
        <c:grouping val="standard"/>
        <c:varyColors val="0"/>
        <c:ser>
          <c:idx val="1"/>
          <c:order val="1"/>
          <c:tx>
            <c:strRef>
              <c:f>Pivots!$C$11</c:f>
              <c:strCache>
                <c:ptCount val="1"/>
                <c:pt idx="0">
                  <c:v>call count2</c:v>
                </c:pt>
              </c:strCache>
            </c:strRef>
          </c:tx>
          <c:spPr>
            <a:gradFill>
              <a:gsLst>
                <a:gs pos="0">
                  <a:schemeClr val="accent2">
                    <a:lumMod val="110000"/>
                    <a:satMod val="105000"/>
                    <a:tint val="67000"/>
                  </a:schemeClr>
                </a:gs>
                <a:gs pos="100000">
                  <a:schemeClr val="accent2">
                    <a:satMod val="103000"/>
                    <a:tint val="73000"/>
                    <a:alpha val="50000"/>
                    <a:lumMod val="60000"/>
                    <a:lumOff val="40000"/>
                  </a:schemeClr>
                </a:gs>
              </a:gsLst>
              <a:lin ang="5400000" scaled="0"/>
            </a:gradFill>
            <a:ln>
              <a:noFill/>
            </a:ln>
            <a:effectLst/>
          </c:spP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Pivots!$C$12:$C$24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6DEB-409D-AF90-85D38DEF21C7}"/>
            </c:ext>
          </c:extLst>
        </c:ser>
        <c:dLbls>
          <c:showLegendKey val="0"/>
          <c:showVal val="0"/>
          <c:showCatName val="0"/>
          <c:showSerName val="0"/>
          <c:showPercent val="0"/>
          <c:showBubbleSize val="0"/>
        </c:dLbls>
        <c:axId val="974877407"/>
        <c:axId val="928434847"/>
      </c:areaChart>
      <c:lineChart>
        <c:grouping val="standard"/>
        <c:varyColors val="0"/>
        <c:ser>
          <c:idx val="0"/>
          <c:order val="0"/>
          <c:tx>
            <c:strRef>
              <c:f>Pivots!$B$11</c:f>
              <c:strCache>
                <c:ptCount val="1"/>
                <c:pt idx="0">
                  <c:v>call count</c:v>
                </c:pt>
              </c:strCache>
            </c:strRef>
          </c:tx>
          <c:spPr>
            <a:ln w="28575" cap="rnd">
              <a:solidFill>
                <a:schemeClr val="bg2">
                  <a:lumMod val="50000"/>
                </a:schemeClr>
              </a:solidFill>
              <a:round/>
            </a:ln>
            <a:effectLst/>
          </c:spPr>
          <c:marker>
            <c:symbol val="circle"/>
            <c:size val="7"/>
            <c:spPr>
              <a:solidFill>
                <a:schemeClr val="bg1">
                  <a:lumMod val="95000"/>
                </a:schemeClr>
              </a:solidFill>
              <a:ln w="25400">
                <a:solidFill>
                  <a:schemeClr val="bg2">
                    <a:lumMod val="10000"/>
                  </a:schemeClr>
                </a:solidFill>
              </a:ln>
              <a:effectLst/>
            </c:spPr>
          </c:marker>
          <c:cat>
            <c:strRef>
              <c:f>Pivots!$A$12:$A$24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Pivots!$B$12:$B$24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6DEB-409D-AF90-85D38DEF21C7}"/>
            </c:ext>
          </c:extLst>
        </c:ser>
        <c:dLbls>
          <c:showLegendKey val="0"/>
          <c:showVal val="0"/>
          <c:showCatName val="0"/>
          <c:showSerName val="0"/>
          <c:showPercent val="0"/>
          <c:showBubbleSize val="0"/>
        </c:dLbls>
        <c:marker val="1"/>
        <c:smooth val="0"/>
        <c:axId val="974877407"/>
        <c:axId val="928434847"/>
      </c:lineChart>
      <c:catAx>
        <c:axId val="9748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34847"/>
        <c:crosses val="autoZero"/>
        <c:auto val="1"/>
        <c:lblAlgn val="ctr"/>
        <c:lblOffset val="100"/>
        <c:noMultiLvlLbl val="0"/>
      </c:catAx>
      <c:valAx>
        <c:axId val="928434847"/>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7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Pivots!$E$25:$E$29</c:f>
              <c:strCache>
                <c:ptCount val="5"/>
                <c:pt idx="0">
                  <c:v>R01</c:v>
                </c:pt>
                <c:pt idx="1">
                  <c:v>R02</c:v>
                </c:pt>
                <c:pt idx="2">
                  <c:v>R03</c:v>
                </c:pt>
                <c:pt idx="3">
                  <c:v>R04</c:v>
                </c:pt>
                <c:pt idx="4">
                  <c:v>R05</c:v>
                </c:pt>
              </c:strCache>
            </c:strRef>
          </c:cat>
          <c:val>
            <c:numRef>
              <c:f>Pivots!$F$25:$F$29</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21F-45CC-A16D-E86FB6EB805D}"/>
            </c:ext>
          </c:extLst>
        </c:ser>
        <c:ser>
          <c:idx val="1"/>
          <c:order val="1"/>
          <c:tx>
            <c:strRef>
              <c:f>Pivots!$H$24</c:f>
              <c:strCache>
                <c:ptCount val="1"/>
                <c:pt idx="0">
                  <c:v>sell.calls</c:v>
                </c:pt>
              </c:strCache>
            </c:strRef>
          </c:tx>
          <c:spPr>
            <a:gradFill>
              <a:gsLst>
                <a:gs pos="100000">
                  <a:schemeClr val="bg2">
                    <a:lumMod val="75000"/>
                  </a:schemeClr>
                </a:gs>
                <a:gs pos="100000">
                  <a:schemeClr val="accent1">
                    <a:lumMod val="45000"/>
                    <a:lumOff val="55000"/>
                  </a:schemeClr>
                </a:gs>
                <a:gs pos="1000">
                  <a:schemeClr val="accent1">
                    <a:lumMod val="30000"/>
                    <a:lumOff val="70000"/>
                  </a:schemeClr>
                </a:gs>
              </a:gsLst>
              <a:lin ang="5400000" scaled="1"/>
            </a:gradFill>
            <a:ln>
              <a:noFill/>
            </a:ln>
            <a:effectLst/>
          </c:spPr>
          <c:invertIfNegative val="0"/>
          <c:val>
            <c:numRef>
              <c:f>Pivots!$H$25:$H$29</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E21F-45CC-A16D-E86FB6EB805D}"/>
            </c:ext>
          </c:extLst>
        </c:ser>
        <c:dLbls>
          <c:showLegendKey val="0"/>
          <c:showVal val="0"/>
          <c:showCatName val="0"/>
          <c:showSerName val="0"/>
          <c:showPercent val="0"/>
          <c:showBubbleSize val="0"/>
        </c:dLbls>
        <c:gapWidth val="25"/>
        <c:overlap val="100"/>
        <c:axId val="564315135"/>
        <c:axId val="564316095"/>
      </c:barChart>
      <c:catAx>
        <c:axId val="5643151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316095"/>
        <c:crosses val="autoZero"/>
        <c:auto val="1"/>
        <c:lblAlgn val="ctr"/>
        <c:lblOffset val="100"/>
        <c:noMultiLvlLbl val="0"/>
      </c:catAx>
      <c:valAx>
        <c:axId val="564316095"/>
        <c:scaling>
          <c:orientation val="minMax"/>
          <c:min val="0"/>
        </c:scaling>
        <c:delete val="1"/>
        <c:axPos val="t"/>
        <c:numFmt formatCode="#,##0" sourceLinked="1"/>
        <c:majorTickMark val="out"/>
        <c:minorTickMark val="none"/>
        <c:tickLblPos val="nextTo"/>
        <c:crossAx val="5643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Pivots!$E$25:$E$29</c:f>
              <c:strCache>
                <c:ptCount val="5"/>
                <c:pt idx="0">
                  <c:v>R01</c:v>
                </c:pt>
                <c:pt idx="1">
                  <c:v>R02</c:v>
                </c:pt>
                <c:pt idx="2">
                  <c:v>R03</c:v>
                </c:pt>
                <c:pt idx="3">
                  <c:v>R04</c:v>
                </c:pt>
                <c:pt idx="4">
                  <c:v>R05</c:v>
                </c:pt>
              </c:strCache>
            </c:strRef>
          </c:cat>
          <c:val>
            <c:numRef>
              <c:f>Pivots!$G$25:$G$29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4A2-4A29-A5BF-5FAF88C2E9BD}"/>
            </c:ext>
          </c:extLst>
        </c:ser>
        <c:ser>
          <c:idx val="1"/>
          <c:order val="1"/>
          <c:tx>
            <c:strRef>
              <c:f>Pivots!$I$24</c:f>
              <c:strCache>
                <c:ptCount val="1"/>
                <c:pt idx="0">
                  <c:v>sell.amount</c:v>
                </c:pt>
              </c:strCache>
            </c:strRef>
          </c:tx>
          <c:spPr>
            <a:gradFill>
              <a:gsLst>
                <a:gs pos="100000">
                  <a:schemeClr val="bg2">
                    <a:lumMod val="75000"/>
                  </a:schemeClr>
                </a:gs>
                <a:gs pos="0">
                  <a:schemeClr val="accent1">
                    <a:lumMod val="30000"/>
                    <a:lumOff val="70000"/>
                  </a:schemeClr>
                </a:gs>
              </a:gsLst>
              <a:lin ang="5400000" scaled="1"/>
            </a:gradFill>
            <a:ln>
              <a:noFill/>
            </a:ln>
            <a:effectLst/>
          </c:spPr>
          <c:invertIfNegative val="0"/>
          <c:dLbls>
            <c:delete val="1"/>
          </c:dLbls>
          <c:val>
            <c:numRef>
              <c:f>Pivots!$I$25:$I$29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4A2-4A29-A5BF-5FAF88C2E9BD}"/>
            </c:ext>
          </c:extLst>
        </c:ser>
        <c:dLbls>
          <c:dLblPos val="outEnd"/>
          <c:showLegendKey val="0"/>
          <c:showVal val="1"/>
          <c:showCatName val="0"/>
          <c:showSerName val="0"/>
          <c:showPercent val="0"/>
          <c:showBubbleSize val="0"/>
        </c:dLbls>
        <c:gapWidth val="25"/>
        <c:overlap val="100"/>
        <c:axId val="564315135"/>
        <c:axId val="564316095"/>
      </c:barChart>
      <c:catAx>
        <c:axId val="564315135"/>
        <c:scaling>
          <c:orientation val="maxMin"/>
        </c:scaling>
        <c:delete val="1"/>
        <c:axPos val="l"/>
        <c:numFmt formatCode="General" sourceLinked="1"/>
        <c:majorTickMark val="none"/>
        <c:minorTickMark val="none"/>
        <c:tickLblPos val="nextTo"/>
        <c:crossAx val="564316095"/>
        <c:crosses val="autoZero"/>
        <c:auto val="1"/>
        <c:lblAlgn val="ctr"/>
        <c:lblOffset val="100"/>
        <c:noMultiLvlLbl val="0"/>
      </c:catAx>
      <c:valAx>
        <c:axId val="564316095"/>
        <c:scaling>
          <c:orientation val="minMax"/>
          <c:min val="0"/>
        </c:scaling>
        <c:delete val="1"/>
        <c:axPos val="t"/>
        <c:numFmt formatCode="&quot;$&quot;#,###.0,&quot;k&quot;" sourceLinked="1"/>
        <c:majorTickMark val="none"/>
        <c:minorTickMark val="none"/>
        <c:tickLblPos val="nextTo"/>
        <c:crossAx val="5643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[Excel_Call_Centre_performance.xlsx]Pivots!PivotTable1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60000"/>
                    <a:lumOff val="40000"/>
                  </a:schemeClr>
                </a:solidFill>
              </a:rPr>
              <a:t>females</a:t>
            </a:r>
            <a:r>
              <a:rPr lang="en-US" baseline="0"/>
              <a:t> vs</a:t>
            </a:r>
            <a:r>
              <a:rPr lang="en-US" baseline="0">
                <a:solidFill>
                  <a:schemeClr val="bg2">
                    <a:lumMod val="90000"/>
                  </a:schemeClr>
                </a:solidFill>
              </a:rPr>
              <a:t>. male </a:t>
            </a:r>
            <a:r>
              <a:rPr lang="en-US" baseline="0"/>
              <a:t>Callers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lumMod val="40000"/>
              <a:lumOff val="60000"/>
            </a:schemeClr>
          </a:solidFill>
          <a:ln>
            <a:noFill/>
          </a:ln>
          <a:effectLst/>
        </c:spPr>
        <c:dLbl>
          <c:idx val="0"/>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lumMod val="40000"/>
              <a:lumOff val="60000"/>
            </a:schemeClr>
          </a:solidFill>
          <a:ln>
            <a:noFill/>
          </a:ln>
          <a:effectLst/>
        </c:spPr>
        <c:dLbl>
          <c:idx val="0"/>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lumMod val="40000"/>
              <a:lumOff val="60000"/>
            </a:schemeClr>
          </a:solidFill>
          <a:ln>
            <a:noFill/>
          </a:ln>
          <a:effectLst/>
        </c:spPr>
        <c:dLbl>
          <c:idx val="0"/>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Pivots!$B$42:$B$43</c:f>
              <c:strCache>
                <c:ptCount val="1"/>
                <c:pt idx="0">
                  <c:v>Female</c:v>
                </c:pt>
              </c:strCache>
            </c:strRef>
          </c:tx>
          <c:spPr>
            <a:solidFill>
              <a:schemeClr val="accent1">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4-45BF-4605-A538-99843E20A8AA}"/>
              </c:ext>
            </c:extLst>
          </c:dPt>
          <c:dPt>
            <c:idx val="1"/>
            <c:invertIfNegative val="0"/>
            <c:bubble3D val="0"/>
            <c:extLst>
              <c:ext xmlns:c16="http://schemas.microsoft.com/office/drawing/2014/chart" uri="{C3380CC4-5D6E-409C-BE32-E72D297353CC}">
                <c16:uniqueId val="{00000003-45BF-4605-A538-99843E20A8AA}"/>
              </c:ext>
            </c:extLst>
          </c:dPt>
          <c:dPt>
            <c:idx val="2"/>
            <c:invertIfNegative val="0"/>
            <c:bubble3D val="0"/>
            <c:extLst>
              <c:ext xmlns:c16="http://schemas.microsoft.com/office/drawing/2014/chart" uri="{C3380CC4-5D6E-409C-BE32-E72D297353CC}">
                <c16:uniqueId val="{00000002-45BF-4605-A538-99843E20A8AA}"/>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BF-4605-A538-99843E20A8AA}"/>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BF-4605-A538-99843E20A8AA}"/>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BF-4605-A538-99843E20A8AA}"/>
                </c:ext>
              </c:extLst>
            </c:dLbl>
            <c:spPr>
              <a:solidFill>
                <a:schemeClr val="accent1">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Pivots!$A$44:$A$47</c:f>
              <c:strCache>
                <c:ptCount val="3"/>
                <c:pt idx="0">
                  <c:v>Cincinnati</c:v>
                </c:pt>
                <c:pt idx="1">
                  <c:v>Cleveland</c:v>
                </c:pt>
                <c:pt idx="2">
                  <c:v>Columbus</c:v>
                </c:pt>
              </c:strCache>
            </c:strRef>
          </c:cat>
          <c:val>
            <c:numRef>
              <c:f>Pivots!$B$44:$B$47</c:f>
              <c:numCache>
                <c:formatCode>#,##0</c:formatCode>
                <c:ptCount val="3"/>
                <c:pt idx="0">
                  <c:v>144</c:v>
                </c:pt>
                <c:pt idx="1">
                  <c:v>326</c:v>
                </c:pt>
                <c:pt idx="2">
                  <c:v>129</c:v>
                </c:pt>
              </c:numCache>
            </c:numRef>
          </c:val>
          <c:extLst>
            <c:ext xmlns:c16="http://schemas.microsoft.com/office/drawing/2014/chart" uri="{C3380CC4-5D6E-409C-BE32-E72D297353CC}">
              <c16:uniqueId val="{00000000-45BF-4605-A538-99843E20A8AA}"/>
            </c:ext>
          </c:extLst>
        </c:ser>
        <c:ser>
          <c:idx val="1"/>
          <c:order val="1"/>
          <c:tx>
            <c:strRef>
              <c:f>Pivots!$C$42:$C$43</c:f>
              <c:strCache>
                <c:ptCount val="1"/>
                <c:pt idx="0">
                  <c:v>Male</c:v>
                </c:pt>
              </c:strCache>
            </c:strRef>
          </c:tx>
          <c:spPr>
            <a:solidFill>
              <a:schemeClr val="accent2"/>
            </a:solidFill>
            <a:ln>
              <a:noFill/>
            </a:ln>
            <a:effectLst/>
          </c:spPr>
          <c:invertIfNegative val="0"/>
          <c:dLbls>
            <c:spPr>
              <a:solidFill>
                <a:schemeClr val="accent2">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Pivots!$A$44:$A$47</c:f>
              <c:strCache>
                <c:ptCount val="3"/>
                <c:pt idx="0">
                  <c:v>Cincinnati</c:v>
                </c:pt>
                <c:pt idx="1">
                  <c:v>Cleveland</c:v>
                </c:pt>
                <c:pt idx="2">
                  <c:v>Columbus</c:v>
                </c:pt>
              </c:strCache>
            </c:strRef>
          </c:cat>
          <c:val>
            <c:numRef>
              <c:f>Pivots!$C$44:$C$47</c:f>
              <c:numCache>
                <c:formatCode>#,##0</c:formatCode>
                <c:ptCount val="3"/>
                <c:pt idx="0">
                  <c:v>132</c:v>
                </c:pt>
                <c:pt idx="1">
                  <c:v>63</c:v>
                </c:pt>
                <c:pt idx="2">
                  <c:v>206</c:v>
                </c:pt>
              </c:numCache>
            </c:numRef>
          </c:val>
          <c:extLst>
            <c:ext xmlns:c16="http://schemas.microsoft.com/office/drawing/2014/chart" uri="{C3380CC4-5D6E-409C-BE32-E72D297353CC}">
              <c16:uniqueId val="{00000001-45BF-4605-A538-99843E20A8AA}"/>
            </c:ext>
          </c:extLst>
        </c:ser>
        <c:dLbls>
          <c:showLegendKey val="0"/>
          <c:showVal val="0"/>
          <c:showCatName val="0"/>
          <c:showSerName val="0"/>
          <c:showPercent val="0"/>
          <c:showBubbleSize val="0"/>
        </c:dLbls>
        <c:gapWidth val="25"/>
        <c:overlap val="100"/>
        <c:axId val="812385824"/>
        <c:axId val="812391104"/>
      </c:barChart>
      <c:catAx>
        <c:axId val="81238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104"/>
        <c:crosses val="autoZero"/>
        <c:auto val="1"/>
        <c:lblAlgn val="ctr"/>
        <c:lblOffset val="100"/>
        <c:noMultiLvlLbl val="0"/>
      </c:catAx>
      <c:valAx>
        <c:axId val="812391104"/>
        <c:scaling>
          <c:orientation val="minMax"/>
        </c:scaling>
        <c:delete val="1"/>
        <c:axPos val="l"/>
        <c:numFmt formatCode="0%" sourceLinked="1"/>
        <c:majorTickMark val="none"/>
        <c:minorTickMark val="none"/>
        <c:tickLblPos val="nextTo"/>
        <c:crossAx val="8123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[Excel_Call_Centre_performance.xlsx]Pivots!rep satisfaction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9790167459568"/>
          <c:y val="0.30491756907943346"/>
          <c:w val="0.77664613212763023"/>
          <c:h val="0.46507715365292468"/>
        </c:manualLayout>
      </c:layout>
      <c:barChart>
        <c:barDir val="col"/>
        <c:grouping val="clustered"/>
        <c:varyColors val="0"/>
        <c:ser>
          <c:idx val="0"/>
          <c:order val="0"/>
          <c:tx>
            <c:strRef>
              <c:f>Pivots!$B$49</c:f>
              <c:strCache>
                <c:ptCount val="1"/>
                <c:pt idx="0">
                  <c:v>Total</c:v>
                </c:pt>
              </c:strCache>
            </c:strRef>
          </c:tx>
          <c:spPr>
            <a:solidFill>
              <a:schemeClr val="bg2">
                <a:lumMod val="75000"/>
              </a:schemeClr>
            </a:solidFill>
            <a:ln>
              <a:noFill/>
            </a:ln>
            <a:effectLst/>
          </c:spPr>
          <c:invertIfNegative val="0"/>
          <c:cat>
            <c:strRef>
              <c:f>Pivots!$A$50:$A$55</c:f>
              <c:strCache>
                <c:ptCount val="5"/>
                <c:pt idx="0">
                  <c:v>1</c:v>
                </c:pt>
                <c:pt idx="1">
                  <c:v>2</c:v>
                </c:pt>
                <c:pt idx="2">
                  <c:v>3</c:v>
                </c:pt>
                <c:pt idx="3">
                  <c:v>4</c:v>
                </c:pt>
                <c:pt idx="4">
                  <c:v>5</c:v>
                </c:pt>
              </c:strCache>
            </c:strRef>
          </c:cat>
          <c:val>
            <c:numRef>
              <c:f>Pivots!$B$50:$B$55</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E0A7-4428-A00E-CFE3EBAA97E8}"/>
            </c:ext>
          </c:extLst>
        </c:ser>
        <c:dLbls>
          <c:showLegendKey val="0"/>
          <c:showVal val="0"/>
          <c:showCatName val="0"/>
          <c:showSerName val="0"/>
          <c:showPercent val="0"/>
          <c:showBubbleSize val="0"/>
        </c:dLbls>
        <c:gapWidth val="10"/>
        <c:overlap val="-27"/>
        <c:axId val="814399888"/>
        <c:axId val="814400848"/>
      </c:barChart>
      <c:catAx>
        <c:axId val="814399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00848"/>
        <c:crosses val="autoZero"/>
        <c:auto val="1"/>
        <c:lblAlgn val="ctr"/>
        <c:lblOffset val="100"/>
        <c:noMultiLvlLbl val="0"/>
      </c:catAx>
      <c:valAx>
        <c:axId val="8144008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39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5.sv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3.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9.svg"/><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1.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28576</xdr:rowOff>
    </xdr:from>
    <xdr:to>
      <xdr:col>4</xdr:col>
      <xdr:colOff>95250</xdr:colOff>
      <xdr:row>10</xdr:row>
      <xdr:rowOff>80635</xdr:rowOff>
    </xdr:to>
    <xdr:sp macro="" textlink="Pivots!A4">
      <xdr:nvSpPr>
        <xdr:cNvPr id="2" name="Rectangle 1">
          <a:extLst>
            <a:ext uri="{FF2B5EF4-FFF2-40B4-BE49-F238E27FC236}">
              <a16:creationId xmlns:a16="http://schemas.microsoft.com/office/drawing/2014/main" id="{DF07259A-EC2B-BAC4-23B2-9268D27A5C14}"/>
            </a:ext>
          </a:extLst>
        </xdr:cNvPr>
        <xdr:cNvSpPr/>
      </xdr:nvSpPr>
      <xdr:spPr>
        <a:xfrm>
          <a:off x="262063" y="996195"/>
          <a:ext cx="1627314" cy="1140630"/>
        </a:xfrm>
        <a:prstGeom prst="rect">
          <a:avLst/>
        </a:prstGeom>
        <a:effectLst>
          <a:outerShdw blurRad="254000" dist="127000" dir="2700000" algn="tl" rotWithShape="0">
            <a:prstClr val="black">
              <a:alpha val="5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E043BB9C-8368-48F3-9067-3C548D6DE2A2}" type="TxLink">
            <a:rPr lang="en-US" sz="2400" b="0" i="0" u="none" strike="noStrike">
              <a:solidFill>
                <a:srgbClr val="000000"/>
              </a:solidFill>
              <a:latin typeface="Aptos "/>
            </a:rPr>
            <a:pPr algn="ctr"/>
            <a:t>1,000</a:t>
          </a:fld>
          <a:endParaRPr lang="en-US" sz="2400"/>
        </a:p>
      </xdr:txBody>
    </xdr:sp>
    <xdr:clientData/>
  </xdr:twoCellAnchor>
  <xdr:twoCellAnchor>
    <xdr:from>
      <xdr:col>2</xdr:col>
      <xdr:colOff>245269</xdr:colOff>
      <xdr:row>4</xdr:row>
      <xdr:rowOff>73027</xdr:rowOff>
    </xdr:from>
    <xdr:to>
      <xdr:col>3</xdr:col>
      <xdr:colOff>388144</xdr:colOff>
      <xdr:row>5</xdr:row>
      <xdr:rowOff>82551</xdr:rowOff>
    </xdr:to>
    <xdr:sp macro="" textlink="">
      <xdr:nvSpPr>
        <xdr:cNvPr id="3" name="TextBox 2">
          <a:extLst>
            <a:ext uri="{FF2B5EF4-FFF2-40B4-BE49-F238E27FC236}">
              <a16:creationId xmlns:a16="http://schemas.microsoft.com/office/drawing/2014/main" id="{B8ADDDC6-29BA-9F90-7C59-33C863029422}"/>
            </a:ext>
          </a:extLst>
        </xdr:cNvPr>
        <xdr:cNvSpPr txBox="1"/>
      </xdr:nvSpPr>
      <xdr:spPr>
        <a:xfrm>
          <a:off x="708819" y="1031877"/>
          <a:ext cx="803275" cy="187324"/>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100"/>
            <a:t>Calls</a:t>
          </a:r>
        </a:p>
      </xdr:txBody>
    </xdr:sp>
    <xdr:clientData/>
  </xdr:twoCellAnchor>
  <xdr:twoCellAnchor editAs="oneCell">
    <xdr:from>
      <xdr:col>1</xdr:col>
      <xdr:colOff>31352</xdr:colOff>
      <xdr:row>4</xdr:row>
      <xdr:rowOff>75803</xdr:rowOff>
    </xdr:from>
    <xdr:to>
      <xdr:col>2</xdr:col>
      <xdr:colOff>53577</xdr:colOff>
      <xdr:row>5</xdr:row>
      <xdr:rowOff>113903</xdr:rowOff>
    </xdr:to>
    <xdr:pic>
      <xdr:nvPicPr>
        <xdr:cNvPr id="4" name="Graphic 3" descr="Receiver with solid fill">
          <a:extLst>
            <a:ext uri="{FF2B5EF4-FFF2-40B4-BE49-F238E27FC236}">
              <a16:creationId xmlns:a16="http://schemas.microsoft.com/office/drawing/2014/main" id="{E969CD96-4541-45F1-927A-83BA4F51A3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53926">
          <a:off x="298052" y="1034653"/>
          <a:ext cx="219075" cy="215900"/>
        </a:xfrm>
        <a:prstGeom prst="rect">
          <a:avLst/>
        </a:prstGeom>
      </xdr:spPr>
    </xdr:pic>
    <xdr:clientData/>
  </xdr:twoCellAnchor>
  <xdr:twoCellAnchor>
    <xdr:from>
      <xdr:col>2</xdr:col>
      <xdr:colOff>244708</xdr:colOff>
      <xdr:row>8</xdr:row>
      <xdr:rowOff>125489</xdr:rowOff>
    </xdr:from>
    <xdr:to>
      <xdr:col>3</xdr:col>
      <xdr:colOff>406633</xdr:colOff>
      <xdr:row>9</xdr:row>
      <xdr:rowOff>73498</xdr:rowOff>
    </xdr:to>
    <xdr:sp macro="" textlink="Pivots!A8">
      <xdr:nvSpPr>
        <xdr:cNvPr id="5" name="TextBox 4">
          <a:extLst>
            <a:ext uri="{FF2B5EF4-FFF2-40B4-BE49-F238E27FC236}">
              <a16:creationId xmlns:a16="http://schemas.microsoft.com/office/drawing/2014/main" id="{EE73EDDF-A04C-5EA3-DF4E-ABF76D564780}"/>
            </a:ext>
          </a:extLst>
        </xdr:cNvPr>
        <xdr:cNvSpPr txBox="1"/>
      </xdr:nvSpPr>
      <xdr:spPr>
        <a:xfrm>
          <a:off x="708359" y="1818822"/>
          <a:ext cx="827163" cy="129438"/>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4B8EDBD8-6D3F-46F3-86D8-29833E5807BE}" type="TxLink">
            <a:rPr lang="en-US" sz="1100" b="0" i="0" u="none" strike="noStrike">
              <a:solidFill>
                <a:srgbClr val="000000"/>
              </a:solidFill>
              <a:latin typeface="Aptos "/>
            </a:rPr>
            <a:pPr algn="ctr"/>
            <a:t>189</a:t>
          </a:fld>
          <a:endParaRPr lang="en-US" sz="1100"/>
        </a:p>
      </xdr:txBody>
    </xdr:sp>
    <xdr:clientData/>
  </xdr:twoCellAnchor>
  <xdr:twoCellAnchor>
    <xdr:from>
      <xdr:col>0</xdr:col>
      <xdr:colOff>237063</xdr:colOff>
      <xdr:row>11</xdr:row>
      <xdr:rowOff>181126</xdr:rowOff>
    </xdr:from>
    <xdr:to>
      <xdr:col>4</xdr:col>
      <xdr:colOff>110871</xdr:colOff>
      <xdr:row>17</xdr:row>
      <xdr:rowOff>171350</xdr:rowOff>
    </xdr:to>
    <xdr:sp macro="" textlink="Pivots!B4">
      <xdr:nvSpPr>
        <xdr:cNvPr id="6" name="Rectangle 5">
          <a:extLst>
            <a:ext uri="{FF2B5EF4-FFF2-40B4-BE49-F238E27FC236}">
              <a16:creationId xmlns:a16="http://schemas.microsoft.com/office/drawing/2014/main" id="{2B032776-F13A-42CF-95DF-487B293AB992}"/>
            </a:ext>
          </a:extLst>
        </xdr:cNvPr>
        <xdr:cNvSpPr/>
      </xdr:nvSpPr>
      <xdr:spPr>
        <a:xfrm>
          <a:off x="237063" y="2418745"/>
          <a:ext cx="1667935" cy="1078795"/>
        </a:xfrm>
        <a:prstGeom prst="rect">
          <a:avLst/>
        </a:prstGeom>
        <a:effectLst>
          <a:outerShdw blurRad="254000" dist="127000" dir="2700000" algn="tl" rotWithShape="0">
            <a:prstClr val="black">
              <a:alpha val="5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26555C4C-292D-4C13-8273-27E78D8569E0}" type="TxLink">
            <a:rPr lang="en-US" sz="1100" b="0" i="0" u="none" strike="noStrike">
              <a:solidFill>
                <a:srgbClr val="000000"/>
              </a:solidFill>
              <a:latin typeface="Aptos "/>
            </a:rPr>
            <a:pPr algn="ctr"/>
            <a:t>$96,623</a:t>
          </a:fld>
          <a:endParaRPr lang="en-US" sz="2400"/>
        </a:p>
      </xdr:txBody>
    </xdr:sp>
    <xdr:clientData/>
  </xdr:twoCellAnchor>
  <xdr:twoCellAnchor>
    <xdr:from>
      <xdr:col>2</xdr:col>
      <xdr:colOff>281466</xdr:colOff>
      <xdr:row>13</xdr:row>
      <xdr:rowOff>16832</xdr:rowOff>
    </xdr:from>
    <xdr:to>
      <xdr:col>3</xdr:col>
      <xdr:colOff>424341</xdr:colOff>
      <xdr:row>14</xdr:row>
      <xdr:rowOff>26356</xdr:rowOff>
    </xdr:to>
    <xdr:sp macro="" textlink="">
      <xdr:nvSpPr>
        <xdr:cNvPr id="7" name="TextBox 6">
          <a:extLst>
            <a:ext uri="{FF2B5EF4-FFF2-40B4-BE49-F238E27FC236}">
              <a16:creationId xmlns:a16="http://schemas.microsoft.com/office/drawing/2014/main" id="{9E25A960-D7B1-4748-B0B4-807C8444D587}"/>
            </a:ext>
          </a:extLst>
        </xdr:cNvPr>
        <xdr:cNvSpPr txBox="1"/>
      </xdr:nvSpPr>
      <xdr:spPr>
        <a:xfrm>
          <a:off x="745117" y="2617308"/>
          <a:ext cx="808113" cy="190953"/>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100"/>
            <a:t>Amount</a:t>
          </a:r>
        </a:p>
      </xdr:txBody>
    </xdr:sp>
    <xdr:clientData/>
  </xdr:twoCellAnchor>
  <xdr:twoCellAnchor editAs="oneCell">
    <xdr:from>
      <xdr:col>1</xdr:col>
      <xdr:colOff>130025</xdr:colOff>
      <xdr:row>13</xdr:row>
      <xdr:rowOff>17941</xdr:rowOff>
    </xdr:from>
    <xdr:to>
      <xdr:col>2</xdr:col>
      <xdr:colOff>152250</xdr:colOff>
      <xdr:row>14</xdr:row>
      <xdr:rowOff>56041</xdr:rowOff>
    </xdr:to>
    <xdr:pic>
      <xdr:nvPicPr>
        <xdr:cNvPr id="8" name="Graphic 7">
          <a:extLst>
            <a:ext uri="{FF2B5EF4-FFF2-40B4-BE49-F238E27FC236}">
              <a16:creationId xmlns:a16="http://schemas.microsoft.com/office/drawing/2014/main" id="{942DDA1B-CB11-4B2D-B701-AF082FA246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21344234">
          <a:off x="392088" y="2618417"/>
          <a:ext cx="223813" cy="219529"/>
        </a:xfrm>
        <a:prstGeom prst="rect">
          <a:avLst/>
        </a:prstGeom>
      </xdr:spPr>
    </xdr:pic>
    <xdr:clientData/>
  </xdr:twoCellAnchor>
  <xdr:twoCellAnchor>
    <xdr:from>
      <xdr:col>2</xdr:col>
      <xdr:colOff>183192</xdr:colOff>
      <xdr:row>16</xdr:row>
      <xdr:rowOff>94695</xdr:rowOff>
    </xdr:from>
    <xdr:to>
      <xdr:col>3</xdr:col>
      <xdr:colOff>345117</xdr:colOff>
      <xdr:row>17</xdr:row>
      <xdr:rowOff>50245</xdr:rowOff>
    </xdr:to>
    <xdr:sp macro="" textlink="Pivots!B8">
      <xdr:nvSpPr>
        <xdr:cNvPr id="9" name="TextBox 8">
          <a:extLst>
            <a:ext uri="{FF2B5EF4-FFF2-40B4-BE49-F238E27FC236}">
              <a16:creationId xmlns:a16="http://schemas.microsoft.com/office/drawing/2014/main" id="{C658CBA8-890D-454D-B3A9-6199D0BFFA61}"/>
            </a:ext>
          </a:extLst>
        </xdr:cNvPr>
        <xdr:cNvSpPr txBox="1"/>
      </xdr:nvSpPr>
      <xdr:spPr>
        <a:xfrm>
          <a:off x="646843" y="3239457"/>
          <a:ext cx="827163" cy="136978"/>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F01D83DA-A898-44A2-BC48-53DE3DFA81AC}" type="TxLink">
            <a:rPr lang="en-US" sz="1100" b="0" i="0" u="none" strike="noStrike">
              <a:solidFill>
                <a:srgbClr val="000000"/>
              </a:solidFill>
              <a:latin typeface="Aptos "/>
            </a:rPr>
            <a:pPr algn="ctr"/>
            <a:t>$18,415</a:t>
          </a:fld>
          <a:endParaRPr lang="en-US" sz="1100"/>
        </a:p>
      </xdr:txBody>
    </xdr:sp>
    <xdr:clientData/>
  </xdr:twoCellAnchor>
  <xdr:twoCellAnchor>
    <xdr:from>
      <xdr:col>1</xdr:col>
      <xdr:colOff>11591</xdr:colOff>
      <xdr:row>19</xdr:row>
      <xdr:rowOff>178909</xdr:rowOff>
    </xdr:from>
    <xdr:to>
      <xdr:col>4</xdr:col>
      <xdr:colOff>141111</xdr:colOff>
      <xdr:row>26</xdr:row>
      <xdr:rowOff>1</xdr:rowOff>
    </xdr:to>
    <xdr:sp macro="" textlink="Pivots!C4">
      <xdr:nvSpPr>
        <xdr:cNvPr id="10" name="Rectangle 9">
          <a:extLst>
            <a:ext uri="{FF2B5EF4-FFF2-40B4-BE49-F238E27FC236}">
              <a16:creationId xmlns:a16="http://schemas.microsoft.com/office/drawing/2014/main" id="{F0205596-35B9-4556-AD70-B5B00CDB6730}"/>
            </a:ext>
          </a:extLst>
        </xdr:cNvPr>
        <xdr:cNvSpPr/>
      </xdr:nvSpPr>
      <xdr:spPr>
        <a:xfrm>
          <a:off x="273654" y="3867957"/>
          <a:ext cx="1661584" cy="1091092"/>
        </a:xfrm>
        <a:prstGeom prst="rect">
          <a:avLst/>
        </a:prstGeom>
        <a:effectLst>
          <a:outerShdw blurRad="254000" dist="127000" dir="2700000" algn="tl" rotWithShape="0">
            <a:prstClr val="black">
              <a:alpha val="5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61198545-2F9F-4D52-924D-6BAEB1B11978}" type="TxLink">
            <a:rPr lang="en-US" sz="1100" b="0" i="0" u="none" strike="noStrike">
              <a:solidFill>
                <a:srgbClr val="000000"/>
              </a:solidFill>
              <a:latin typeface="Aptos "/>
            </a:rPr>
            <a:pPr algn="ctr"/>
            <a:t>89,850</a:t>
          </a:fld>
          <a:endParaRPr lang="en-US" sz="2400"/>
        </a:p>
      </xdr:txBody>
    </xdr:sp>
    <xdr:clientData/>
  </xdr:twoCellAnchor>
  <xdr:twoCellAnchor>
    <xdr:from>
      <xdr:col>2</xdr:col>
      <xdr:colOff>217563</xdr:colOff>
      <xdr:row>20</xdr:row>
      <xdr:rowOff>163186</xdr:rowOff>
    </xdr:from>
    <xdr:to>
      <xdr:col>3</xdr:col>
      <xdr:colOff>360438</xdr:colOff>
      <xdr:row>21</xdr:row>
      <xdr:rowOff>172710</xdr:rowOff>
    </xdr:to>
    <xdr:sp macro="" textlink="">
      <xdr:nvSpPr>
        <xdr:cNvPr id="11" name="TextBox 10">
          <a:extLst>
            <a:ext uri="{FF2B5EF4-FFF2-40B4-BE49-F238E27FC236}">
              <a16:creationId xmlns:a16="http://schemas.microsoft.com/office/drawing/2014/main" id="{54DBA742-7CB3-44D0-8AA6-1012F887E54C}"/>
            </a:ext>
          </a:extLst>
        </xdr:cNvPr>
        <xdr:cNvSpPr txBox="1"/>
      </xdr:nvSpPr>
      <xdr:spPr>
        <a:xfrm>
          <a:off x="681214" y="4033662"/>
          <a:ext cx="808113" cy="190953"/>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100"/>
            <a:t>Duration</a:t>
          </a:r>
        </a:p>
      </xdr:txBody>
    </xdr:sp>
    <xdr:clientData/>
  </xdr:twoCellAnchor>
  <xdr:twoCellAnchor editAs="oneCell">
    <xdr:from>
      <xdr:col>1</xdr:col>
      <xdr:colOff>125891</xdr:colOff>
      <xdr:row>21</xdr:row>
      <xdr:rowOff>23181</xdr:rowOff>
    </xdr:from>
    <xdr:to>
      <xdr:col>2</xdr:col>
      <xdr:colOff>148116</xdr:colOff>
      <xdr:row>22</xdr:row>
      <xdr:rowOff>61281</xdr:rowOff>
    </xdr:to>
    <xdr:pic>
      <xdr:nvPicPr>
        <xdr:cNvPr id="12" name="Graphic 11">
          <a:extLst>
            <a:ext uri="{FF2B5EF4-FFF2-40B4-BE49-F238E27FC236}">
              <a16:creationId xmlns:a16="http://schemas.microsoft.com/office/drawing/2014/main" id="{4D888DB5-BC87-4777-BE14-8470C7586A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87954" y="4075086"/>
          <a:ext cx="223813" cy="219528"/>
        </a:xfrm>
        <a:prstGeom prst="rect">
          <a:avLst/>
        </a:prstGeom>
      </xdr:spPr>
    </xdr:pic>
    <xdr:clientData/>
  </xdr:twoCellAnchor>
  <xdr:twoCellAnchor>
    <xdr:from>
      <xdr:col>2</xdr:col>
      <xdr:colOff>156684</xdr:colOff>
      <xdr:row>24</xdr:row>
      <xdr:rowOff>133098</xdr:rowOff>
    </xdr:from>
    <xdr:to>
      <xdr:col>3</xdr:col>
      <xdr:colOff>318609</xdr:colOff>
      <xdr:row>25</xdr:row>
      <xdr:rowOff>85019</xdr:rowOff>
    </xdr:to>
    <xdr:sp macro="" textlink="Pivots!C8">
      <xdr:nvSpPr>
        <xdr:cNvPr id="13" name="TextBox 12">
          <a:extLst>
            <a:ext uri="{FF2B5EF4-FFF2-40B4-BE49-F238E27FC236}">
              <a16:creationId xmlns:a16="http://schemas.microsoft.com/office/drawing/2014/main" id="{6184F9A2-D573-456B-A0CE-427326CFABB0}"/>
            </a:ext>
          </a:extLst>
        </xdr:cNvPr>
        <xdr:cNvSpPr txBox="1"/>
      </xdr:nvSpPr>
      <xdr:spPr>
        <a:xfrm>
          <a:off x="620335" y="4729288"/>
          <a:ext cx="827163" cy="133350"/>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2EFF18D5-28AB-40FD-B44D-00E8B4E00EB5}" type="TxLink">
            <a:rPr lang="en-US" sz="1100" b="0" i="0" u="none" strike="noStrike">
              <a:solidFill>
                <a:srgbClr val="000000"/>
              </a:solidFill>
              <a:latin typeface="Aptos "/>
            </a:rPr>
            <a:pPr algn="ctr"/>
            <a:t>16,834</a:t>
          </a:fld>
          <a:endParaRPr lang="en-US" sz="1100"/>
        </a:p>
      </xdr:txBody>
    </xdr:sp>
    <xdr:clientData/>
  </xdr:twoCellAnchor>
  <xdr:twoCellAnchor>
    <xdr:from>
      <xdr:col>0</xdr:col>
      <xdr:colOff>239685</xdr:colOff>
      <xdr:row>27</xdr:row>
      <xdr:rowOff>131035</xdr:rowOff>
    </xdr:from>
    <xdr:to>
      <xdr:col>4</xdr:col>
      <xdr:colOff>151190</xdr:colOff>
      <xdr:row>33</xdr:row>
      <xdr:rowOff>138594</xdr:rowOff>
    </xdr:to>
    <xdr:sp macro="" textlink="Pivots!D4">
      <xdr:nvSpPr>
        <xdr:cNvPr id="14" name="Rectangle 13">
          <a:extLst>
            <a:ext uri="{FF2B5EF4-FFF2-40B4-BE49-F238E27FC236}">
              <a16:creationId xmlns:a16="http://schemas.microsoft.com/office/drawing/2014/main" id="{C5B716A1-8AC5-480A-851B-09071A4DF9CE}"/>
            </a:ext>
          </a:extLst>
        </xdr:cNvPr>
        <xdr:cNvSpPr/>
      </xdr:nvSpPr>
      <xdr:spPr>
        <a:xfrm>
          <a:off x="239685" y="5271511"/>
          <a:ext cx="1705632" cy="1096131"/>
        </a:xfrm>
        <a:prstGeom prst="rect">
          <a:avLst/>
        </a:prstGeom>
        <a:effectLst>
          <a:outerShdw blurRad="254000" dist="127000" dir="2700000" algn="tl" rotWithShape="0">
            <a:prstClr val="black">
              <a:alpha val="5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4CE05A56-A877-4B49-A7F7-6AAC82A26F3C}" type="TxLink">
            <a:rPr lang="en-US" sz="1100" b="0" i="0" u="none" strike="noStrike">
              <a:solidFill>
                <a:srgbClr val="000000"/>
              </a:solidFill>
              <a:latin typeface="Aptos "/>
            </a:rPr>
            <a:pPr algn="ctr"/>
            <a:t>3.9</a:t>
          </a:fld>
          <a:endParaRPr lang="en-US" sz="2400"/>
        </a:p>
      </xdr:txBody>
    </xdr:sp>
    <xdr:clientData/>
  </xdr:twoCellAnchor>
  <xdr:twoCellAnchor>
    <xdr:from>
      <xdr:col>2</xdr:col>
      <xdr:colOff>202167</xdr:colOff>
      <xdr:row>28</xdr:row>
      <xdr:rowOff>98588</xdr:rowOff>
    </xdr:from>
    <xdr:to>
      <xdr:col>3</xdr:col>
      <xdr:colOff>420448</xdr:colOff>
      <xdr:row>29</xdr:row>
      <xdr:rowOff>108510</xdr:rowOff>
    </xdr:to>
    <xdr:sp macro="" textlink="">
      <xdr:nvSpPr>
        <xdr:cNvPr id="15" name="TextBox 14">
          <a:extLst>
            <a:ext uri="{FF2B5EF4-FFF2-40B4-BE49-F238E27FC236}">
              <a16:creationId xmlns:a16="http://schemas.microsoft.com/office/drawing/2014/main" id="{06593E86-FEC7-412F-8F48-86C56AC47B80}"/>
            </a:ext>
          </a:extLst>
        </xdr:cNvPr>
        <xdr:cNvSpPr txBox="1"/>
      </xdr:nvSpPr>
      <xdr:spPr>
        <a:xfrm>
          <a:off x="665818" y="5420493"/>
          <a:ext cx="883519" cy="191350"/>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100"/>
            <a:t>Avg.Rating</a:t>
          </a:r>
        </a:p>
      </xdr:txBody>
    </xdr:sp>
    <xdr:clientData/>
  </xdr:twoCellAnchor>
  <xdr:twoCellAnchor editAs="oneCell">
    <xdr:from>
      <xdr:col>1</xdr:col>
      <xdr:colOff>110331</xdr:colOff>
      <xdr:row>29</xdr:row>
      <xdr:rowOff>118665</xdr:rowOff>
    </xdr:from>
    <xdr:to>
      <xdr:col>2</xdr:col>
      <xdr:colOff>130969</xdr:colOff>
      <xdr:row>30</xdr:row>
      <xdr:rowOff>156766</xdr:rowOff>
    </xdr:to>
    <xdr:pic>
      <xdr:nvPicPr>
        <xdr:cNvPr id="16" name="Graphic 15">
          <a:extLst>
            <a:ext uri="{FF2B5EF4-FFF2-40B4-BE49-F238E27FC236}">
              <a16:creationId xmlns:a16="http://schemas.microsoft.com/office/drawing/2014/main" id="{8165A95C-83D1-4139-8F58-73548F3A474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77031" y="5522515"/>
          <a:ext cx="217488" cy="215901"/>
        </a:xfrm>
        <a:prstGeom prst="rect">
          <a:avLst/>
        </a:prstGeom>
      </xdr:spPr>
    </xdr:pic>
    <xdr:clientData/>
  </xdr:twoCellAnchor>
  <xdr:twoCellAnchor>
    <xdr:from>
      <xdr:col>2</xdr:col>
      <xdr:colOff>186929</xdr:colOff>
      <xdr:row>32</xdr:row>
      <xdr:rowOff>78580</xdr:rowOff>
    </xdr:from>
    <xdr:to>
      <xdr:col>3</xdr:col>
      <xdr:colOff>348854</xdr:colOff>
      <xdr:row>33</xdr:row>
      <xdr:rowOff>34130</xdr:rowOff>
    </xdr:to>
    <xdr:sp macro="" textlink="Pivots!D8">
      <xdr:nvSpPr>
        <xdr:cNvPr id="17" name="TextBox 16">
          <a:extLst>
            <a:ext uri="{FF2B5EF4-FFF2-40B4-BE49-F238E27FC236}">
              <a16:creationId xmlns:a16="http://schemas.microsoft.com/office/drawing/2014/main" id="{C4A0E1BB-EB12-4956-88FB-A9EB992AD088}"/>
            </a:ext>
          </a:extLst>
        </xdr:cNvPr>
        <xdr:cNvSpPr txBox="1"/>
      </xdr:nvSpPr>
      <xdr:spPr>
        <a:xfrm>
          <a:off x="650479" y="6015830"/>
          <a:ext cx="822325" cy="133350"/>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EF7E724A-C39F-4560-A988-0CAF519DD976}" type="TxLink">
            <a:rPr lang="en-US" sz="1100" b="0" i="0" u="none" strike="noStrike">
              <a:solidFill>
                <a:srgbClr val="000000"/>
              </a:solidFill>
              <a:latin typeface="Aptos "/>
            </a:rPr>
            <a:pPr algn="ctr"/>
            <a:t>3.9</a:t>
          </a:fld>
          <a:endParaRPr lang="en-US" sz="1100"/>
        </a:p>
      </xdr:txBody>
    </xdr:sp>
    <xdr:clientData/>
  </xdr:twoCellAnchor>
  <xdr:twoCellAnchor>
    <xdr:from>
      <xdr:col>0</xdr:col>
      <xdr:colOff>241906</xdr:colOff>
      <xdr:row>35</xdr:row>
      <xdr:rowOff>141111</xdr:rowOff>
    </xdr:from>
    <xdr:to>
      <xdr:col>4</xdr:col>
      <xdr:colOff>211667</xdr:colOff>
      <xdr:row>41</xdr:row>
      <xdr:rowOff>151191</xdr:rowOff>
    </xdr:to>
    <xdr:sp macro="" textlink="Pivots!E4">
      <xdr:nvSpPr>
        <xdr:cNvPr id="18" name="Rectangle 17">
          <a:extLst>
            <a:ext uri="{FF2B5EF4-FFF2-40B4-BE49-F238E27FC236}">
              <a16:creationId xmlns:a16="http://schemas.microsoft.com/office/drawing/2014/main" id="{1785634F-7B57-496A-94CB-B7A459F52796}"/>
            </a:ext>
          </a:extLst>
        </xdr:cNvPr>
        <xdr:cNvSpPr/>
      </xdr:nvSpPr>
      <xdr:spPr>
        <a:xfrm>
          <a:off x="241906" y="6733016"/>
          <a:ext cx="1763888" cy="1098651"/>
        </a:xfrm>
        <a:prstGeom prst="rect">
          <a:avLst/>
        </a:prstGeom>
        <a:effectLst>
          <a:outerShdw blurRad="254000" dist="127000" dir="2700000" algn="tl" rotWithShape="0">
            <a:prstClr val="black">
              <a:alpha val="5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8DDDAB96-9DE9-41EE-A114-8750F0AF6561}" type="TxLink">
            <a:rPr lang="en-US" sz="1100" b="0" i="0" u="none" strike="noStrike">
              <a:solidFill>
                <a:srgbClr val="000000"/>
              </a:solidFill>
              <a:latin typeface="Aptos "/>
            </a:rPr>
            <a:pPr algn="ctr"/>
            <a:t>307</a:t>
          </a:fld>
          <a:endParaRPr lang="en-US" sz="2400"/>
        </a:p>
      </xdr:txBody>
    </xdr:sp>
    <xdr:clientData/>
  </xdr:twoCellAnchor>
  <xdr:twoCellAnchor>
    <xdr:from>
      <xdr:col>2</xdr:col>
      <xdr:colOff>192956</xdr:colOff>
      <xdr:row>36</xdr:row>
      <xdr:rowOff>58880</xdr:rowOff>
    </xdr:from>
    <xdr:to>
      <xdr:col>4</xdr:col>
      <xdr:colOff>5978</xdr:colOff>
      <xdr:row>37</xdr:row>
      <xdr:rowOff>28385</xdr:rowOff>
    </xdr:to>
    <xdr:sp macro="" textlink="">
      <xdr:nvSpPr>
        <xdr:cNvPr id="19" name="TextBox 18">
          <a:extLst>
            <a:ext uri="{FF2B5EF4-FFF2-40B4-BE49-F238E27FC236}">
              <a16:creationId xmlns:a16="http://schemas.microsoft.com/office/drawing/2014/main" id="{E9B44A97-3D20-4315-AD7F-78F293E64B8A}"/>
            </a:ext>
          </a:extLst>
        </xdr:cNvPr>
        <xdr:cNvSpPr txBox="1"/>
      </xdr:nvSpPr>
      <xdr:spPr>
        <a:xfrm>
          <a:off x="656607" y="6832213"/>
          <a:ext cx="1143498" cy="150934"/>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100"/>
            <a:t>Happy </a:t>
          </a:r>
          <a:r>
            <a:rPr lang="en-US" sz="1100" baseline="0"/>
            <a:t>Callers</a:t>
          </a:r>
          <a:endParaRPr lang="en-US" sz="1100"/>
        </a:p>
      </xdr:txBody>
    </xdr:sp>
    <xdr:clientData/>
  </xdr:twoCellAnchor>
  <xdr:twoCellAnchor editAs="oneCell">
    <xdr:from>
      <xdr:col>1</xdr:col>
      <xdr:colOff>109932</xdr:colOff>
      <xdr:row>35</xdr:row>
      <xdr:rowOff>151191</xdr:rowOff>
    </xdr:from>
    <xdr:to>
      <xdr:col>2</xdr:col>
      <xdr:colOff>191508</xdr:colOff>
      <xdr:row>37</xdr:row>
      <xdr:rowOff>67981</xdr:rowOff>
    </xdr:to>
    <xdr:pic>
      <xdr:nvPicPr>
        <xdr:cNvPr id="20" name="Graphic 19">
          <a:extLst>
            <a:ext uri="{FF2B5EF4-FFF2-40B4-BE49-F238E27FC236}">
              <a16:creationId xmlns:a16="http://schemas.microsoft.com/office/drawing/2014/main" id="{A51601C7-1134-4E74-B2AA-D65FDBD9E2F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71995" y="6743096"/>
          <a:ext cx="283164" cy="279647"/>
        </a:xfrm>
        <a:prstGeom prst="rect">
          <a:avLst/>
        </a:prstGeom>
      </xdr:spPr>
    </xdr:pic>
    <xdr:clientData/>
  </xdr:twoCellAnchor>
  <xdr:twoCellAnchor>
    <xdr:from>
      <xdr:col>2</xdr:col>
      <xdr:colOff>337751</xdr:colOff>
      <xdr:row>39</xdr:row>
      <xdr:rowOff>168919</xdr:rowOff>
    </xdr:from>
    <xdr:to>
      <xdr:col>3</xdr:col>
      <xdr:colOff>499676</xdr:colOff>
      <xdr:row>40</xdr:row>
      <xdr:rowOff>123981</xdr:rowOff>
    </xdr:to>
    <xdr:sp macro="" textlink="Pivots!E8">
      <xdr:nvSpPr>
        <xdr:cNvPr id="21" name="TextBox 20">
          <a:extLst>
            <a:ext uri="{FF2B5EF4-FFF2-40B4-BE49-F238E27FC236}">
              <a16:creationId xmlns:a16="http://schemas.microsoft.com/office/drawing/2014/main" id="{608E8DFD-936F-4676-AF2C-655A47864DF0}"/>
            </a:ext>
          </a:extLst>
        </xdr:cNvPr>
        <xdr:cNvSpPr txBox="1"/>
      </xdr:nvSpPr>
      <xdr:spPr>
        <a:xfrm>
          <a:off x="801402" y="7486538"/>
          <a:ext cx="827163" cy="136491"/>
        </a:xfrm>
        <a:prstGeom prst="rect">
          <a:avLst/>
        </a:prstGeom>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B1585811-5FD0-4705-A844-E4D6B3925C32}" type="TxLink">
            <a:rPr lang="en-US" sz="1100" b="0" i="0" u="none" strike="noStrike">
              <a:solidFill>
                <a:srgbClr val="000000"/>
              </a:solidFill>
              <a:latin typeface="Aptos "/>
            </a:rPr>
            <a:pPr algn="ctr"/>
            <a:t>60</a:t>
          </a:fld>
          <a:endParaRPr lang="en-US" sz="1100"/>
        </a:p>
      </xdr:txBody>
    </xdr:sp>
    <xdr:clientData/>
  </xdr:twoCellAnchor>
  <xdr:twoCellAnchor editAs="oneCell">
    <xdr:from>
      <xdr:col>11</xdr:col>
      <xdr:colOff>514999</xdr:colOff>
      <xdr:row>30</xdr:row>
      <xdr:rowOff>116459</xdr:rowOff>
    </xdr:from>
    <xdr:to>
      <xdr:col>14</xdr:col>
      <xdr:colOff>300338</xdr:colOff>
      <xdr:row>40</xdr:row>
      <xdr:rowOff>66062</xdr:rowOff>
    </xdr:to>
    <mc:AlternateContent xmlns:mc="http://schemas.openxmlformats.org/markup-compatibility/2006">
      <mc:Choice xmlns:a14="http://schemas.microsoft.com/office/drawing/2010/main" Requires="a14">
        <xdr:graphicFrame macro="">
          <xdr:nvGraphicFramePr>
            <xdr:cNvPr id="24" name="Representative">
              <a:extLst>
                <a:ext uri="{FF2B5EF4-FFF2-40B4-BE49-F238E27FC236}">
                  <a16:creationId xmlns:a16="http://schemas.microsoft.com/office/drawing/2014/main" id="{CB73C5C4-7C87-4FCE-9D80-BF435C3BC82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925067" y="5771391"/>
              <a:ext cx="1767568" cy="17516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292300</xdr:colOff>
      <xdr:row>5</xdr:row>
      <xdr:rowOff>10079</xdr:rowOff>
    </xdr:from>
    <xdr:to>
      <xdr:col>14</xdr:col>
      <xdr:colOff>564443</xdr:colOff>
      <xdr:row>15</xdr:row>
      <xdr:rowOff>110873</xdr:rowOff>
    </xdr:to>
    <xdr:graphicFrame macro="">
      <xdr:nvGraphicFramePr>
        <xdr:cNvPr id="22" name="Chart 21">
          <a:extLst>
            <a:ext uri="{FF2B5EF4-FFF2-40B4-BE49-F238E27FC236}">
              <a16:creationId xmlns:a16="http://schemas.microsoft.com/office/drawing/2014/main" id="{255B27DC-DA3F-4B51-ACB8-A8B573BC8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458390</xdr:colOff>
      <xdr:row>4</xdr:row>
      <xdr:rowOff>10079</xdr:rowOff>
    </xdr:from>
    <xdr:to>
      <xdr:col>11</xdr:col>
      <xdr:colOff>433412</xdr:colOff>
      <xdr:row>19</xdr:row>
      <xdr:rowOff>0</xdr:rowOff>
    </xdr:to>
    <xdr:graphicFrame macro="">
      <xdr:nvGraphicFramePr>
        <xdr:cNvPr id="25" name="Chart 24">
          <a:extLst>
            <a:ext uri="{FF2B5EF4-FFF2-40B4-BE49-F238E27FC236}">
              <a16:creationId xmlns:a16="http://schemas.microsoft.com/office/drawing/2014/main" id="{63A54124-A28F-4E7A-92D2-6BF1DF236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433585</xdr:colOff>
      <xdr:row>21</xdr:row>
      <xdr:rowOff>40317</xdr:rowOff>
    </xdr:from>
    <xdr:to>
      <xdr:col>8</xdr:col>
      <xdr:colOff>608516</xdr:colOff>
      <xdr:row>41</xdr:row>
      <xdr:rowOff>90714</xdr:rowOff>
    </xdr:to>
    <xdr:graphicFrame macro="">
      <xdr:nvGraphicFramePr>
        <xdr:cNvPr id="27" name="Chart 26">
          <a:extLst>
            <a:ext uri="{FF2B5EF4-FFF2-40B4-BE49-F238E27FC236}">
              <a16:creationId xmlns:a16="http://schemas.microsoft.com/office/drawing/2014/main" id="{E2C0F936-9ECE-432E-817C-C0326AB7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463651</xdr:colOff>
      <xdr:row>21</xdr:row>
      <xdr:rowOff>50397</xdr:rowOff>
    </xdr:from>
    <xdr:to>
      <xdr:col>11</xdr:col>
      <xdr:colOff>564444</xdr:colOff>
      <xdr:row>41</xdr:row>
      <xdr:rowOff>70555</xdr:rowOff>
    </xdr:to>
    <xdr:graphicFrame macro="">
      <xdr:nvGraphicFramePr>
        <xdr:cNvPr id="28" name="Chart 27">
          <a:extLst>
            <a:ext uri="{FF2B5EF4-FFF2-40B4-BE49-F238E27FC236}">
              <a16:creationId xmlns:a16="http://schemas.microsoft.com/office/drawing/2014/main" id="{96C06BC3-5496-41AD-9362-7AF1BB464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37420</xdr:colOff>
      <xdr:row>4</xdr:row>
      <xdr:rowOff>141110</xdr:rowOff>
    </xdr:from>
    <xdr:to>
      <xdr:col>18</xdr:col>
      <xdr:colOff>231825</xdr:colOff>
      <xdr:row>17</xdr:row>
      <xdr:rowOff>151190</xdr:rowOff>
    </xdr:to>
    <xdr:graphicFrame macro="">
      <xdr:nvGraphicFramePr>
        <xdr:cNvPr id="29" name="Chart 28">
          <a:extLst>
            <a:ext uri="{FF2B5EF4-FFF2-40B4-BE49-F238E27FC236}">
              <a16:creationId xmlns:a16="http://schemas.microsoft.com/office/drawing/2014/main" id="{BEB88C61-019E-4F84-80B3-BB70E814C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352778</xdr:colOff>
      <xdr:row>4</xdr:row>
      <xdr:rowOff>120952</xdr:rowOff>
    </xdr:from>
    <xdr:to>
      <xdr:col>21</xdr:col>
      <xdr:colOff>645078</xdr:colOff>
      <xdr:row>17</xdr:row>
      <xdr:rowOff>131031</xdr:rowOff>
    </xdr:to>
    <xdr:graphicFrame macro="">
      <xdr:nvGraphicFramePr>
        <xdr:cNvPr id="31" name="Chart 30">
          <a:extLst>
            <a:ext uri="{FF2B5EF4-FFF2-40B4-BE49-F238E27FC236}">
              <a16:creationId xmlns:a16="http://schemas.microsoft.com/office/drawing/2014/main" id="{33EAA253-7140-40B5-8DB2-76E4316A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165402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305957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24848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173194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0</xdr:col>
      <xdr:colOff>685800</xdr:colOff>
      <xdr:row>4</xdr:row>
      <xdr:rowOff>117578</xdr:rowOff>
    </xdr:from>
    <xdr:to>
      <xdr:col>1</xdr:col>
      <xdr:colOff>407993</xdr:colOff>
      <xdr:row>5</xdr:row>
      <xdr:rowOff>204206</xdr:rowOff>
    </xdr:to>
    <xdr:pic>
      <xdr:nvPicPr>
        <xdr:cNvPr id="9" name="Graphic 8" descr="Hourglass Finished with solid fill">
          <a:extLst>
            <a:ext uri="{FF2B5EF4-FFF2-40B4-BE49-F238E27FC236}">
              <a16:creationId xmlns:a16="http://schemas.microsoft.com/office/drawing/2014/main" id="{0FDA935D-3AF5-4137-AA0C-75A13E2ED2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1128056"/>
          <a:ext cx="409650" cy="4096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lie" refreshedDate="46027.714170023151" backgroundQuery="1" createdVersion="8" refreshedVersion="8" minRefreshableVersion="3" recordCount="0" supportSubquery="1" supportAdvancedDrill="1" xr:uid="{17C6EAAC-5276-4499-8660-627EDA8DDC5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lie" refreshedDate="46027.714171874999" backgroundQuery="1" createdVersion="8" refreshedVersion="8" minRefreshableVersion="3" recordCount="0" supportSubquery="1" supportAdvancedDrill="1" xr:uid="{AEDD35CA-F3EE-4EE0-855D-E7E7B516CA6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lie" refreshedDate="46027.714172916669" backgroundQuery="1" createdVersion="8" refreshedVersion="8" minRefreshableVersion="3" recordCount="0" supportSubquery="1" supportAdvancedDrill="1" xr:uid="{DCD81AD3-ABB5-4A41-93BB-CFA523065434}">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lie" refreshedDate="46027.714174189816" backgroundQuery="1" createdVersion="8" refreshedVersion="8" minRefreshableVersion="3" recordCount="0" supportSubquery="1" supportAdvancedDrill="1" xr:uid="{D071C01A-0BC4-40BC-8E0C-22A17FFBDCAD}">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ddy Amanaganti" refreshedDate="46077.635815740738" backgroundQuery="1" createdVersion="8" refreshedVersion="8" minRefreshableVersion="3" recordCount="0" supportSubquery="1" supportAdvancedDrill="1" xr:uid="{78534A16-F634-4A3F-BEE2-527111A55D5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ddy Amanaganti" refreshedDate="46077.635816319445" backgroundQuery="1" createdVersion="8" refreshedVersion="8" minRefreshableVersion="3" recordCount="0" supportSubquery="1" supportAdvancedDrill="1" xr:uid="{4075FC0C-FEEC-4A9D-BF48-E7131916B1D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16">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ddy Amanaganti" refreshedDate="46077.635816898146" backgroundQuery="1" createdVersion="8" refreshedVersion="8" minRefreshableVersion="3" recordCount="0" supportSubquery="1" supportAdvancedDrill="1" xr:uid="{85D1B0F9-3C0D-459F-A0E1-82A12A89070C}">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ddy Amanaganti" refreshedDate="46077.635817245369" backgroundQuery="1" createdVersion="8" refreshedVersion="8" minRefreshableVersion="3" recordCount="0" supportSubquery="1" supportAdvancedDrill="1" xr:uid="{7BBBB934-3EF1-42AC-851D-4A7CEDF57401}">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ddy Amanaganti" refreshedDate="46077.635817592593" backgroundQuery="1" createdVersion="8" refreshedVersion="8" minRefreshableVersion="3" recordCount="0" supportSubquery="1" supportAdvancedDrill="1" xr:uid="{10B06741-84DE-4F8A-9721-B4ABC8B0043E}">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lie" refreshedDate="46027.7141619213" backgroundQuery="1" createdVersion="3" refreshedVersion="8" minRefreshableVersion="3" recordCount="0" supportSubquery="1" supportAdvancedDrill="1" xr:uid="{B9D140DF-A623-4DB5-9EF9-1E5D6219F517}">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292655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C4153-6DF0-4A8C-B5BC-482223C4522C}"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3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numFmtId="167"/>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5C4831-BB82-48F2-B99A-FFA7FD42D9F0}" name="rep satisfaction" cacheId="3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9:B5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949E7-BB56-4D08-BBAA-B884004F5F0C}" name="Monthly Trend" cacheId="3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9A4E4E-5860-4F0E-8455-4AB92A156A7B}" name="Weekly Trend" cacheId="3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11:F1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667F71-CF2E-4673-B93B-0A49B4ABF2F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2:D4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pivotArea type="data" outline="0" fieldPosition="0">
        <references count="3">
          <reference field="4294967294" count="1" selected="0">
            <x v="0"/>
          </reference>
          <reference field="0" count="1" selected="0">
            <x v="2"/>
          </reference>
          <reference field="1" count="1" selected="0">
            <x v="0"/>
          </reference>
        </references>
      </pivotArea>
    </chartFormat>
    <chartFormat chart="7" format="7">
      <pivotArea type="data" outline="0" fieldPosition="0">
        <references count="3">
          <reference field="4294967294" count="1" selected="0">
            <x v="0"/>
          </reference>
          <reference field="0" count="1" selected="0">
            <x v="1"/>
          </reference>
          <reference field="1" count="1" selected="0">
            <x v="0"/>
          </reference>
        </references>
      </pivotArea>
    </chartFormat>
    <chartFormat chart="7" format="8">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D8555-1FAA-40DE-B9B6-4DCE76B3FAD9}" name="Rep pivot" cacheId="3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5EB86A-32C6-4289-B680-68EEBEC729FE}" name="selected rep" cacheId="3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5:A3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8073F6-1772-4888-BD73-B216E66CE251}"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426F1A-5A0A-46A3-8F4C-B0531DCDBCD8}" name="Check"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7">
  <location ref="A58:G7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74A052F-7970-4E90-8F84-F2C60545AEC3}" sourceName="[calls].[Representative]">
  <pivotTables>
    <pivotTable tabId="6" name="Rep pivot"/>
    <pivotTable tabId="6" name="Monthly Trend"/>
    <pivotTable tabId="6" name="Weekly Trend"/>
    <pivotTable tabId="6" name="selected rep"/>
    <pivotTable tabId="6" name="rep satisfaction"/>
  </pivotTables>
  <data>
    <olap pivotCacheId="142926558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A821623-FCE9-4D92-9E24-A340ABB62DDF}" cache="Slicer_Representative" caption="Representative"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54A7-27C9-41C3-B987-9B76B91ECE69}">
  <dimension ref="A3:I77"/>
  <sheetViews>
    <sheetView zoomScaleNormal="100" workbookViewId="0">
      <selection activeCell="D8" sqref="D8"/>
    </sheetView>
  </sheetViews>
  <sheetFormatPr defaultRowHeight="14"/>
  <cols>
    <col min="1" max="1" width="12.9140625" bestFit="1" customWidth="1"/>
    <col min="2" max="2" width="8.9140625" bestFit="1" customWidth="1"/>
    <col min="3" max="3" width="9.9140625" bestFit="1" customWidth="1"/>
    <col min="4" max="4" width="10.1640625" bestFit="1" customWidth="1"/>
    <col min="5" max="5" width="12.9140625" bestFit="1" customWidth="1"/>
    <col min="6" max="6" width="8.9140625" bestFit="1" customWidth="1"/>
    <col min="7" max="7" width="11.33203125" bestFit="1" customWidth="1"/>
  </cols>
  <sheetData>
    <row r="3" spans="1:6">
      <c r="A3" t="s">
        <v>1042</v>
      </c>
      <c r="B3" t="s">
        <v>1043</v>
      </c>
      <c r="C3" t="s">
        <v>1044</v>
      </c>
      <c r="D3" t="s">
        <v>1045</v>
      </c>
      <c r="E3" t="s">
        <v>1046</v>
      </c>
    </row>
    <row r="4" spans="1:6">
      <c r="A4" s="21">
        <v>1000</v>
      </c>
      <c r="B4" s="22">
        <v>96623</v>
      </c>
      <c r="C4" s="21">
        <v>89850</v>
      </c>
      <c r="D4" s="23">
        <v>3.8854000000000033</v>
      </c>
      <c r="E4" s="21">
        <v>307</v>
      </c>
    </row>
    <row r="7" spans="1:6">
      <c r="A7" t="s">
        <v>1042</v>
      </c>
      <c r="B7" t="s">
        <v>1043</v>
      </c>
      <c r="C7" t="s">
        <v>1044</v>
      </c>
      <c r="D7" t="s">
        <v>1045</v>
      </c>
      <c r="E7" t="s">
        <v>1046</v>
      </c>
    </row>
    <row r="8" spans="1:6">
      <c r="A8" s="21">
        <v>189</v>
      </c>
      <c r="B8" s="22">
        <v>18415</v>
      </c>
      <c r="C8" s="21">
        <v>16834</v>
      </c>
      <c r="D8" s="23">
        <v>3.9227513227513247</v>
      </c>
      <c r="E8" s="21">
        <v>60</v>
      </c>
    </row>
    <row r="11" spans="1:6">
      <c r="A11" s="24" t="s">
        <v>1047</v>
      </c>
      <c r="B11" t="s">
        <v>1042</v>
      </c>
      <c r="C11" t="s">
        <v>1061</v>
      </c>
      <c r="E11" s="24" t="s">
        <v>1047</v>
      </c>
      <c r="F11" t="s">
        <v>1042</v>
      </c>
    </row>
    <row r="12" spans="1:6">
      <c r="A12" s="25" t="s">
        <v>1049</v>
      </c>
      <c r="B12" s="21">
        <v>16</v>
      </c>
      <c r="C12" s="21">
        <v>16</v>
      </c>
      <c r="E12" s="25" t="s">
        <v>1063</v>
      </c>
      <c r="F12" s="21">
        <v>30</v>
      </c>
    </row>
    <row r="13" spans="1:6">
      <c r="A13" s="25" t="s">
        <v>1050</v>
      </c>
      <c r="B13" s="21">
        <v>14</v>
      </c>
      <c r="C13" s="21">
        <v>14</v>
      </c>
      <c r="E13" s="25" t="s">
        <v>1067</v>
      </c>
      <c r="F13" s="21">
        <v>13</v>
      </c>
    </row>
    <row r="14" spans="1:6">
      <c r="A14" s="25" t="s">
        <v>1051</v>
      </c>
      <c r="B14" s="21">
        <v>26</v>
      </c>
      <c r="C14" s="21">
        <v>26</v>
      </c>
      <c r="E14" s="25" t="s">
        <v>1068</v>
      </c>
      <c r="F14" s="21">
        <v>23</v>
      </c>
    </row>
    <row r="15" spans="1:6">
      <c r="A15" s="25" t="s">
        <v>1052</v>
      </c>
      <c r="B15" s="21">
        <v>29</v>
      </c>
      <c r="C15" s="21">
        <v>29</v>
      </c>
      <c r="E15" s="25" t="s">
        <v>1066</v>
      </c>
      <c r="F15" s="21">
        <v>23</v>
      </c>
    </row>
    <row r="16" spans="1:6">
      <c r="A16" s="25" t="s">
        <v>1053</v>
      </c>
      <c r="B16" s="21">
        <v>17</v>
      </c>
      <c r="C16" s="21">
        <v>17</v>
      </c>
      <c r="E16" s="25" t="s">
        <v>1062</v>
      </c>
      <c r="F16" s="21">
        <v>24</v>
      </c>
    </row>
    <row r="17" spans="1:9">
      <c r="A17" s="25" t="s">
        <v>1054</v>
      </c>
      <c r="B17" s="21">
        <v>15</v>
      </c>
      <c r="C17" s="21">
        <v>15</v>
      </c>
      <c r="E17" s="25" t="s">
        <v>1064</v>
      </c>
      <c r="F17" s="21">
        <v>40</v>
      </c>
    </row>
    <row r="18" spans="1:9">
      <c r="A18" s="25" t="s">
        <v>1055</v>
      </c>
      <c r="B18" s="21">
        <v>15</v>
      </c>
      <c r="C18" s="21">
        <v>15</v>
      </c>
      <c r="E18" s="25" t="s">
        <v>1065</v>
      </c>
      <c r="F18" s="21">
        <v>36</v>
      </c>
    </row>
    <row r="19" spans="1:9">
      <c r="A19" s="25" t="s">
        <v>1056</v>
      </c>
      <c r="B19" s="21">
        <v>7</v>
      </c>
      <c r="C19" s="21">
        <v>7</v>
      </c>
      <c r="E19" s="25" t="s">
        <v>1048</v>
      </c>
      <c r="F19" s="21">
        <v>189</v>
      </c>
    </row>
    <row r="20" spans="1:9">
      <c r="A20" s="25" t="s">
        <v>1057</v>
      </c>
      <c r="B20" s="21">
        <v>11</v>
      </c>
      <c r="C20" s="21">
        <v>11</v>
      </c>
    </row>
    <row r="21" spans="1:9">
      <c r="A21" s="25" t="s">
        <v>1058</v>
      </c>
      <c r="B21" s="21">
        <v>24</v>
      </c>
      <c r="C21" s="21">
        <v>24</v>
      </c>
    </row>
    <row r="22" spans="1:9">
      <c r="A22" s="25" t="s">
        <v>1059</v>
      </c>
      <c r="B22" s="21">
        <v>9</v>
      </c>
      <c r="C22" s="21">
        <v>9</v>
      </c>
    </row>
    <row r="23" spans="1:9">
      <c r="A23" s="25" t="s">
        <v>1060</v>
      </c>
      <c r="B23" s="21">
        <v>6</v>
      </c>
      <c r="C23" s="21">
        <v>6</v>
      </c>
      <c r="E23" t="s">
        <v>1069</v>
      </c>
      <c r="G23" t="s">
        <v>1075</v>
      </c>
      <c r="H23" t="str">
        <f>A36</f>
        <v>R01</v>
      </c>
    </row>
    <row r="24" spans="1:9">
      <c r="A24" s="25" t="s">
        <v>1048</v>
      </c>
      <c r="B24" s="21">
        <v>189</v>
      </c>
      <c r="C24" s="21">
        <v>189</v>
      </c>
      <c r="E24" t="s">
        <v>1070</v>
      </c>
      <c r="F24" t="s">
        <v>1071</v>
      </c>
      <c r="G24" t="s">
        <v>1072</v>
      </c>
      <c r="H24" t="s">
        <v>1073</v>
      </c>
      <c r="I24" t="s">
        <v>1074</v>
      </c>
    </row>
    <row r="25" spans="1:9">
      <c r="E25" s="25" t="s">
        <v>11</v>
      </c>
      <c r="F25" s="21">
        <v>189</v>
      </c>
      <c r="G25" s="26">
        <v>18415</v>
      </c>
      <c r="H25">
        <f>IF(E25=$H$23,F25,NA())</f>
        <v>189</v>
      </c>
      <c r="I25">
        <f>IF(E25=$H$23,G25,NA())</f>
        <v>18415</v>
      </c>
    </row>
    <row r="26" spans="1:9">
      <c r="E26" s="25" t="s">
        <v>9</v>
      </c>
      <c r="F26" s="21">
        <v>218</v>
      </c>
      <c r="G26" s="26">
        <v>20581</v>
      </c>
      <c r="H26" t="e">
        <f>IF(E26=$H$23,F26,NA())</f>
        <v>#N/A</v>
      </c>
      <c r="I26" t="e">
        <f>IF(E26=$H$23,G26,NA())</f>
        <v>#N/A</v>
      </c>
    </row>
    <row r="27" spans="1:9">
      <c r="A27" s="24" t="s">
        <v>1047</v>
      </c>
      <c r="B27" t="s">
        <v>1042</v>
      </c>
      <c r="C27" t="s">
        <v>1043</v>
      </c>
      <c r="E27" s="25" t="s">
        <v>6</v>
      </c>
      <c r="F27" s="21">
        <v>207</v>
      </c>
      <c r="G27" s="26">
        <v>20872</v>
      </c>
      <c r="H27" t="e">
        <f>IF(E27=$H$23,F27,NA())</f>
        <v>#N/A</v>
      </c>
      <c r="I27" t="e">
        <f>IF(E27=$H$23,G27,NA())</f>
        <v>#N/A</v>
      </c>
    </row>
    <row r="28" spans="1:9">
      <c r="A28" s="25" t="s">
        <v>11</v>
      </c>
      <c r="B28" s="21">
        <v>189</v>
      </c>
      <c r="C28" s="26">
        <v>18415</v>
      </c>
      <c r="E28" s="25" t="s">
        <v>13</v>
      </c>
      <c r="F28" s="21">
        <v>186</v>
      </c>
      <c r="G28" s="26">
        <v>16651</v>
      </c>
      <c r="H28" t="e">
        <f>IF(E28=$H$23,F28,NA())</f>
        <v>#N/A</v>
      </c>
      <c r="I28" t="e">
        <f>IF(E28=$H$23,G28,NA())</f>
        <v>#N/A</v>
      </c>
    </row>
    <row r="29" spans="1:9">
      <c r="A29" s="25" t="s">
        <v>9</v>
      </c>
      <c r="B29" s="21">
        <v>218</v>
      </c>
      <c r="C29" s="26">
        <v>20581</v>
      </c>
      <c r="E29" s="25" t="s">
        <v>10</v>
      </c>
      <c r="F29" s="21">
        <v>200</v>
      </c>
      <c r="G29" s="26">
        <v>20104</v>
      </c>
      <c r="H29" t="e">
        <f>IF(E29=$H$23,F29,NA())</f>
        <v>#N/A</v>
      </c>
      <c r="I29" t="e">
        <f>IF(E29=$H$23,G29,NA())</f>
        <v>#N/A</v>
      </c>
    </row>
    <row r="30" spans="1:9">
      <c r="A30" s="25" t="s">
        <v>6</v>
      </c>
      <c r="B30" s="21">
        <v>207</v>
      </c>
      <c r="C30" s="26">
        <v>20872</v>
      </c>
    </row>
    <row r="31" spans="1:9">
      <c r="A31" s="25" t="s">
        <v>13</v>
      </c>
      <c r="B31" s="21">
        <v>186</v>
      </c>
      <c r="C31" s="26">
        <v>16651</v>
      </c>
    </row>
    <row r="32" spans="1:9">
      <c r="A32" s="25" t="s">
        <v>10</v>
      </c>
      <c r="B32" s="21">
        <v>200</v>
      </c>
      <c r="C32" s="26">
        <v>20104</v>
      </c>
    </row>
    <row r="33" spans="1:7">
      <c r="A33" s="25" t="s">
        <v>1048</v>
      </c>
      <c r="B33" s="21">
        <v>1000</v>
      </c>
      <c r="C33" s="26">
        <v>96623</v>
      </c>
    </row>
    <row r="34" spans="1:7">
      <c r="F34" t="s">
        <v>1078</v>
      </c>
    </row>
    <row r="35" spans="1:7">
      <c r="A35" s="24" t="s">
        <v>1047</v>
      </c>
    </row>
    <row r="36" spans="1:7">
      <c r="A36" s="25" t="s">
        <v>11</v>
      </c>
      <c r="F36" t="s">
        <v>1079</v>
      </c>
      <c r="G36" s="28">
        <f>A8/A4</f>
        <v>0.189</v>
      </c>
    </row>
    <row r="37" spans="1:7">
      <c r="F37" t="s">
        <v>1080</v>
      </c>
      <c r="G37">
        <f>_xlfn.XLOOKUP(A36,E25:E29,F25:F29)</f>
        <v>189</v>
      </c>
    </row>
    <row r="38" spans="1:7">
      <c r="F38" t="s">
        <v>1081</v>
      </c>
      <c r="G38">
        <f>_xlfn.XLOOKUP(A36,E25:E29,G25:G29)</f>
        <v>18415</v>
      </c>
    </row>
    <row r="39" spans="1:7" ht="13.5" customHeight="1">
      <c r="F39" t="s">
        <v>1082</v>
      </c>
      <c r="G39">
        <f>_xlfn.RANK.AVG(G37,F25:F29)</f>
        <v>4</v>
      </c>
    </row>
    <row r="40" spans="1:7">
      <c r="F40" t="s">
        <v>1083</v>
      </c>
      <c r="G40">
        <f>_xlfn.RANK.AVG(G38,G25:G29)</f>
        <v>4</v>
      </c>
    </row>
    <row r="42" spans="1:7">
      <c r="A42" s="24" t="s">
        <v>1042</v>
      </c>
      <c r="B42" s="24" t="s">
        <v>1076</v>
      </c>
      <c r="F42" t="s">
        <v>1084</v>
      </c>
    </row>
    <row r="43" spans="1:7">
      <c r="A43" s="24" t="s">
        <v>1047</v>
      </c>
      <c r="B43" t="s">
        <v>999</v>
      </c>
      <c r="C43" t="s">
        <v>998</v>
      </c>
      <c r="D43" t="s">
        <v>1048</v>
      </c>
      <c r="G43" t="str">
        <f>"% of calls:"&amp;TEXT(G36,"0%")</f>
        <v>% of calls:19%</v>
      </c>
    </row>
    <row r="44" spans="1:7">
      <c r="A44" s="25" t="s">
        <v>1002</v>
      </c>
      <c r="B44" s="21">
        <v>144</v>
      </c>
      <c r="C44" s="21">
        <v>132</v>
      </c>
      <c r="D44" s="21">
        <v>276</v>
      </c>
      <c r="G44" t="str">
        <f>IF(COUNTA(A36:A40)&gt;1,"","call rank:"&amp;G39)</f>
        <v>call rank:4</v>
      </c>
    </row>
    <row r="45" spans="1:7">
      <c r="A45" s="25" t="s">
        <v>1001</v>
      </c>
      <c r="B45" s="21">
        <v>326</v>
      </c>
      <c r="C45" s="21">
        <v>63</v>
      </c>
      <c r="D45" s="21">
        <v>389</v>
      </c>
      <c r="G45" t="str">
        <f>IF(COUNTA(A36:A40)&gt;1,"","Amount rank:"&amp;G40)</f>
        <v>Amount rank:4</v>
      </c>
    </row>
    <row r="46" spans="1:7">
      <c r="A46" s="25" t="s">
        <v>1000</v>
      </c>
      <c r="B46" s="21">
        <v>129</v>
      </c>
      <c r="C46" s="21">
        <v>206</v>
      </c>
      <c r="D46" s="21">
        <v>335</v>
      </c>
    </row>
    <row r="47" spans="1:7">
      <c r="A47" s="25" t="s">
        <v>1048</v>
      </c>
      <c r="B47" s="21">
        <v>599</v>
      </c>
      <c r="C47" s="21">
        <v>401</v>
      </c>
      <c r="D47" s="21">
        <v>1000</v>
      </c>
    </row>
    <row r="48" spans="1:7">
      <c r="F48" t="s">
        <v>1085</v>
      </c>
      <c r="G48" t="e" vm="1">
        <f>IF(COUNTA(A36:A40)&gt;1,"",_xlfn.XLOOKUP(A36,Assets!E3:E7,Assets!F3:F7))</f>
        <v>#VALUE!</v>
      </c>
    </row>
    <row r="49" spans="1:7">
      <c r="A49" s="24" t="s">
        <v>1047</v>
      </c>
      <c r="B49" t="s">
        <v>1042</v>
      </c>
    </row>
    <row r="50" spans="1:7">
      <c r="A50" s="25">
        <v>1</v>
      </c>
      <c r="B50" s="21">
        <v>1</v>
      </c>
    </row>
    <row r="51" spans="1:7">
      <c r="A51" s="25">
        <v>2</v>
      </c>
      <c r="B51" s="21">
        <v>9</v>
      </c>
    </row>
    <row r="52" spans="1:7">
      <c r="A52" s="25">
        <v>3</v>
      </c>
      <c r="B52" s="21">
        <v>31</v>
      </c>
    </row>
    <row r="53" spans="1:7">
      <c r="A53" s="25">
        <v>4</v>
      </c>
      <c r="B53" s="21">
        <v>88</v>
      </c>
    </row>
    <row r="54" spans="1:7">
      <c r="A54" s="25">
        <v>5</v>
      </c>
      <c r="B54" s="21">
        <v>60</v>
      </c>
    </row>
    <row r="55" spans="1:7">
      <c r="A55" s="25" t="s">
        <v>1048</v>
      </c>
      <c r="B55" s="21">
        <v>189</v>
      </c>
    </row>
    <row r="58" spans="1:7">
      <c r="A58" s="24" t="s">
        <v>1043</v>
      </c>
      <c r="B58" s="24" t="s">
        <v>1076</v>
      </c>
    </row>
    <row r="59" spans="1:7">
      <c r="A59" s="24" t="s">
        <v>1047</v>
      </c>
      <c r="B59" t="s">
        <v>11</v>
      </c>
      <c r="C59" t="s">
        <v>9</v>
      </c>
      <c r="D59" t="s">
        <v>6</v>
      </c>
      <c r="E59" t="s">
        <v>13</v>
      </c>
      <c r="F59" t="s">
        <v>10</v>
      </c>
      <c r="G59" t="s">
        <v>1048</v>
      </c>
    </row>
    <row r="60" spans="1:7">
      <c r="A60" s="25" t="s">
        <v>1002</v>
      </c>
    </row>
    <row r="61" spans="1:7">
      <c r="A61" s="27" t="s">
        <v>20</v>
      </c>
      <c r="B61" s="22">
        <v>891</v>
      </c>
      <c r="C61" s="22">
        <v>1332</v>
      </c>
      <c r="D61" s="22">
        <v>1282</v>
      </c>
      <c r="E61" s="22">
        <v>739</v>
      </c>
      <c r="F61" s="22">
        <v>560</v>
      </c>
      <c r="G61" s="22">
        <v>4804</v>
      </c>
    </row>
    <row r="62" spans="1:7">
      <c r="A62" s="27" t="s">
        <v>12</v>
      </c>
      <c r="B62" s="22">
        <v>1991</v>
      </c>
      <c r="C62" s="22">
        <v>1886</v>
      </c>
      <c r="D62" s="22">
        <v>1206</v>
      </c>
      <c r="E62" s="22">
        <v>884</v>
      </c>
      <c r="F62" s="22">
        <v>1722</v>
      </c>
      <c r="G62" s="22">
        <v>7689</v>
      </c>
    </row>
    <row r="63" spans="1:7">
      <c r="A63" s="27" t="s">
        <v>8</v>
      </c>
      <c r="B63" s="22">
        <v>1163</v>
      </c>
      <c r="C63" s="22">
        <v>1180</v>
      </c>
      <c r="D63" s="22">
        <v>1616</v>
      </c>
      <c r="E63" s="22">
        <v>1043</v>
      </c>
      <c r="F63" s="22">
        <v>1747</v>
      </c>
      <c r="G63" s="22">
        <v>6749</v>
      </c>
    </row>
    <row r="64" spans="1:7">
      <c r="A64" s="27" t="s">
        <v>16</v>
      </c>
      <c r="B64" s="22">
        <v>1438</v>
      </c>
      <c r="C64" s="22">
        <v>1616</v>
      </c>
      <c r="D64" s="22">
        <v>866</v>
      </c>
      <c r="E64" s="22">
        <v>829</v>
      </c>
      <c r="F64" s="22">
        <v>2070</v>
      </c>
      <c r="G64" s="22">
        <v>6819</v>
      </c>
    </row>
    <row r="65" spans="1:7">
      <c r="A65" s="25" t="s">
        <v>1001</v>
      </c>
    </row>
    <row r="66" spans="1:7">
      <c r="A66" s="27" t="s">
        <v>24</v>
      </c>
      <c r="B66" s="22">
        <v>1233</v>
      </c>
      <c r="C66" s="22">
        <v>223</v>
      </c>
      <c r="D66" s="22">
        <v>1680</v>
      </c>
      <c r="E66" s="22">
        <v>990</v>
      </c>
      <c r="F66" s="22">
        <v>1508</v>
      </c>
      <c r="G66" s="22">
        <v>5634</v>
      </c>
    </row>
    <row r="67" spans="1:7">
      <c r="A67" s="27" t="s">
        <v>15</v>
      </c>
      <c r="B67" s="22">
        <v>1598</v>
      </c>
      <c r="C67" s="22">
        <v>1907</v>
      </c>
      <c r="D67" s="22">
        <v>869</v>
      </c>
      <c r="E67" s="22">
        <v>1426</v>
      </c>
      <c r="F67" s="22">
        <v>1416</v>
      </c>
      <c r="G67" s="22">
        <v>7216</v>
      </c>
    </row>
    <row r="68" spans="1:7">
      <c r="A68" s="27" t="s">
        <v>5</v>
      </c>
      <c r="B68" s="22">
        <v>900</v>
      </c>
      <c r="C68" s="22">
        <v>1016</v>
      </c>
      <c r="D68" s="22">
        <v>960</v>
      </c>
      <c r="E68" s="22">
        <v>940</v>
      </c>
      <c r="F68" s="22">
        <v>1193</v>
      </c>
      <c r="G68" s="22">
        <v>5009</v>
      </c>
    </row>
    <row r="69" spans="1:7">
      <c r="A69" s="27" t="s">
        <v>18</v>
      </c>
      <c r="B69" s="22">
        <v>900</v>
      </c>
      <c r="C69" s="22">
        <v>1470</v>
      </c>
      <c r="D69" s="22">
        <v>1617</v>
      </c>
      <c r="E69" s="22">
        <v>1314</v>
      </c>
      <c r="F69" s="22">
        <v>941</v>
      </c>
      <c r="G69" s="22">
        <v>6242</v>
      </c>
    </row>
    <row r="70" spans="1:7">
      <c r="A70" s="27" t="s">
        <v>14</v>
      </c>
      <c r="B70" s="22">
        <v>1255</v>
      </c>
      <c r="C70" s="22">
        <v>516</v>
      </c>
      <c r="D70" s="22">
        <v>1874</v>
      </c>
      <c r="E70" s="22">
        <v>1863</v>
      </c>
      <c r="F70" s="22">
        <v>1722</v>
      </c>
      <c r="G70" s="22">
        <v>7230</v>
      </c>
    </row>
    <row r="71" spans="1:7">
      <c r="A71" s="27" t="s">
        <v>19</v>
      </c>
      <c r="B71" s="22">
        <v>1138</v>
      </c>
      <c r="C71" s="22">
        <v>1898</v>
      </c>
      <c r="D71" s="22">
        <v>1482</v>
      </c>
      <c r="E71" s="22">
        <v>846</v>
      </c>
      <c r="F71" s="22">
        <v>1154</v>
      </c>
      <c r="G71" s="22">
        <v>6518</v>
      </c>
    </row>
    <row r="72" spans="1:7">
      <c r="A72" s="25" t="s">
        <v>1000</v>
      </c>
    </row>
    <row r="73" spans="1:7">
      <c r="A73" s="27" t="s">
        <v>17</v>
      </c>
      <c r="B73" s="22">
        <v>1655</v>
      </c>
      <c r="C73" s="22">
        <v>805</v>
      </c>
      <c r="D73" s="22">
        <v>2263</v>
      </c>
      <c r="E73" s="22">
        <v>987</v>
      </c>
      <c r="F73" s="22">
        <v>1075</v>
      </c>
      <c r="G73" s="22">
        <v>6785</v>
      </c>
    </row>
    <row r="74" spans="1:7">
      <c r="A74" s="27" t="s">
        <v>23</v>
      </c>
      <c r="B74" s="22">
        <v>1104</v>
      </c>
      <c r="C74" s="22">
        <v>2280</v>
      </c>
      <c r="D74" s="22">
        <v>1445</v>
      </c>
      <c r="E74" s="22">
        <v>1722</v>
      </c>
      <c r="F74" s="22">
        <v>1196</v>
      </c>
      <c r="G74" s="22">
        <v>7747</v>
      </c>
    </row>
    <row r="75" spans="1:7">
      <c r="A75" s="27" t="s">
        <v>7</v>
      </c>
      <c r="B75" s="22">
        <v>372</v>
      </c>
      <c r="C75" s="22">
        <v>1818</v>
      </c>
      <c r="D75" s="22">
        <v>1346</v>
      </c>
      <c r="E75" s="22">
        <v>1156</v>
      </c>
      <c r="F75" s="22">
        <v>1484</v>
      </c>
      <c r="G75" s="22">
        <v>6176</v>
      </c>
    </row>
    <row r="76" spans="1:7">
      <c r="A76" s="27" t="s">
        <v>22</v>
      </c>
      <c r="B76" s="22">
        <v>1415</v>
      </c>
      <c r="C76" s="22">
        <v>1271</v>
      </c>
      <c r="D76" s="22">
        <v>1214</v>
      </c>
      <c r="E76" s="22">
        <v>1135</v>
      </c>
      <c r="F76" s="22">
        <v>1566</v>
      </c>
      <c r="G76" s="22">
        <v>6601</v>
      </c>
    </row>
    <row r="77" spans="1:7">
      <c r="A77" s="27" t="s">
        <v>21</v>
      </c>
      <c r="B77" s="22">
        <v>1362</v>
      </c>
      <c r="C77" s="22">
        <v>1363</v>
      </c>
      <c r="D77" s="22">
        <v>1152</v>
      </c>
      <c r="E77" s="22">
        <v>777</v>
      </c>
      <c r="F77" s="22">
        <v>750</v>
      </c>
      <c r="G77"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45" zoomScaleNormal="45" workbookViewId="0">
      <selection activeCell="C6" sqref="C6"/>
    </sheetView>
  </sheetViews>
  <sheetFormatPr defaultRowHeight="14"/>
  <cols>
    <col min="1" max="1" width="3.25" customWidth="1"/>
    <col min="2" max="2" width="14.58203125" customWidth="1"/>
    <col min="3" max="3" width="12.83203125" customWidth="1"/>
    <col min="4" max="4" width="16.58203125" customWidth="1"/>
    <col min="5" max="5" width="15" customWidth="1"/>
    <col min="6" max="6" width="16.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BAB8-31FE-4EE7-BD72-CDB3719D05AE}">
  <dimension ref="A1:AE64"/>
  <sheetViews>
    <sheetView tabSelected="1" zoomScale="74" zoomScaleNormal="74" workbookViewId="0">
      <selection activeCell="N22" sqref="N22"/>
    </sheetView>
  </sheetViews>
  <sheetFormatPr defaultRowHeight="14"/>
  <cols>
    <col min="1" max="1" width="3.5" customWidth="1"/>
    <col min="2" max="2" width="2.58203125" customWidth="1"/>
    <col min="16" max="16" width="14.1640625" customWidth="1"/>
    <col min="17" max="17" width="12.08203125" customWidth="1"/>
  </cols>
  <sheetData>
    <row r="1" spans="1:31" ht="33.75" customHeight="1">
      <c r="A1" s="29" t="s">
        <v>1086</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31">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spans="1:3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spans="1:3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spans="1:3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spans="1:3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spans="1:31">
      <c r="A22" s="20"/>
      <c r="B22" s="20"/>
      <c r="C22" s="20"/>
      <c r="D22" s="20"/>
      <c r="E22" s="20"/>
      <c r="F22" s="20"/>
      <c r="G22" s="20"/>
      <c r="H22" s="20"/>
      <c r="I22" s="20"/>
      <c r="J22" s="20"/>
      <c r="K22" s="20"/>
      <c r="L22" s="20"/>
      <c r="M22" s="20"/>
      <c r="N22" s="20"/>
      <c r="O22" s="20"/>
      <c r="P22" s="34"/>
      <c r="Q22" s="35" t="str" cm="1">
        <f t="array" ref="Q22:U22">Pivots!B59:F59</f>
        <v>R01</v>
      </c>
      <c r="R22" s="35" t="str">
        <v>R02</v>
      </c>
      <c r="S22" s="35" t="str">
        <v>R03</v>
      </c>
      <c r="T22" s="35" t="str">
        <v>R04</v>
      </c>
      <c r="U22" s="35" t="str">
        <v>R05</v>
      </c>
      <c r="V22" s="36" t="s">
        <v>1077</v>
      </c>
      <c r="W22" s="20"/>
      <c r="X22" s="20"/>
      <c r="Y22" s="20"/>
      <c r="Z22" s="20"/>
      <c r="AA22" s="20"/>
      <c r="AB22" s="20"/>
      <c r="AC22" s="20"/>
      <c r="AD22" s="20"/>
      <c r="AE22" s="20"/>
    </row>
    <row r="23" spans="1:31">
      <c r="A23" s="20"/>
      <c r="B23" s="20"/>
      <c r="C23" s="20"/>
      <c r="D23" s="20"/>
      <c r="E23" s="20"/>
      <c r="F23" s="20"/>
      <c r="G23" s="20"/>
      <c r="H23" s="20"/>
      <c r="I23" s="20"/>
      <c r="J23" s="20"/>
      <c r="K23" s="20"/>
      <c r="L23" s="20"/>
      <c r="M23" s="32" t="e" vm="1">
        <f>Pivots!G48</f>
        <v>#VALUE!</v>
      </c>
      <c r="N23" s="32"/>
      <c r="O23" s="20"/>
      <c r="P23" s="37" t="str" cm="1">
        <f t="array" ref="P23:V40">IF(Pivots!A60:G77="","",Pivots!A60:G77)</f>
        <v>Cincinnati</v>
      </c>
      <c r="Q23" s="38" t="str">
        <v/>
      </c>
      <c r="R23" s="38" t="str">
        <v/>
      </c>
      <c r="S23" s="38" t="str">
        <v/>
      </c>
      <c r="T23" s="38" t="str">
        <v/>
      </c>
      <c r="U23" s="38" t="str">
        <v/>
      </c>
      <c r="V23" s="39" t="str">
        <v/>
      </c>
      <c r="W23" s="20"/>
      <c r="X23" s="20"/>
      <c r="Y23" s="20"/>
      <c r="Z23" s="33"/>
      <c r="AA23" s="20"/>
      <c r="AB23" s="20"/>
      <c r="AC23" s="20"/>
      <c r="AD23" s="20"/>
      <c r="AE23" s="20"/>
    </row>
    <row r="24" spans="1:31">
      <c r="A24" s="20"/>
      <c r="B24" s="20"/>
      <c r="C24" s="20"/>
      <c r="D24" s="20"/>
      <c r="E24" s="20"/>
      <c r="F24" s="20"/>
      <c r="G24" s="20"/>
      <c r="H24" s="20"/>
      <c r="I24" s="20"/>
      <c r="J24" s="20"/>
      <c r="K24" s="20"/>
      <c r="L24" s="20"/>
      <c r="M24" s="32"/>
      <c r="N24" s="32"/>
      <c r="O24" s="20"/>
      <c r="P24" s="40" t="str">
        <v>C0003</v>
      </c>
      <c r="Q24" s="41">
        <v>891</v>
      </c>
      <c r="R24" s="41">
        <v>1332</v>
      </c>
      <c r="S24" s="41">
        <v>1282</v>
      </c>
      <c r="T24" s="41">
        <v>739</v>
      </c>
      <c r="U24" s="41">
        <v>560</v>
      </c>
      <c r="V24" s="42">
        <v>4804</v>
      </c>
      <c r="W24" s="20"/>
      <c r="X24" s="20"/>
      <c r="Y24" s="20"/>
      <c r="Z24" s="20"/>
      <c r="AA24" s="20"/>
      <c r="AB24" s="20"/>
      <c r="AC24" s="20"/>
      <c r="AD24" s="20"/>
      <c r="AE24" s="20"/>
    </row>
    <row r="25" spans="1:31">
      <c r="A25" s="20"/>
      <c r="B25" s="20"/>
      <c r="C25" s="20"/>
      <c r="D25" s="20"/>
      <c r="E25" s="20"/>
      <c r="F25" s="20"/>
      <c r="G25" s="20"/>
      <c r="H25" s="20"/>
      <c r="I25" s="20"/>
      <c r="J25" s="20"/>
      <c r="K25" s="20"/>
      <c r="L25" s="20"/>
      <c r="M25" s="32"/>
      <c r="N25" s="32"/>
      <c r="O25" s="20"/>
      <c r="P25" s="40" t="str">
        <v>C0004</v>
      </c>
      <c r="Q25" s="41">
        <v>1991</v>
      </c>
      <c r="R25" s="41">
        <v>1886</v>
      </c>
      <c r="S25" s="41">
        <v>1206</v>
      </c>
      <c r="T25" s="41">
        <v>884</v>
      </c>
      <c r="U25" s="41">
        <v>1722</v>
      </c>
      <c r="V25" s="42">
        <v>7689</v>
      </c>
      <c r="W25" s="20"/>
      <c r="X25" s="20"/>
      <c r="Y25" s="20"/>
      <c r="Z25" s="20"/>
      <c r="AA25" s="20"/>
      <c r="AB25" s="20"/>
      <c r="AC25" s="20"/>
      <c r="AD25" s="20"/>
      <c r="AE25" s="20"/>
    </row>
    <row r="26" spans="1:31">
      <c r="A26" s="20"/>
      <c r="B26" s="20"/>
      <c r="C26" s="20"/>
      <c r="D26" s="20"/>
      <c r="E26" s="20"/>
      <c r="F26" s="20"/>
      <c r="G26" s="20"/>
      <c r="H26" s="20"/>
      <c r="I26" s="20"/>
      <c r="J26" s="20"/>
      <c r="K26" s="20"/>
      <c r="L26" s="20"/>
      <c r="M26" s="32"/>
      <c r="N26" s="32"/>
      <c r="O26" s="20"/>
      <c r="P26" s="40" t="str">
        <v>C0011</v>
      </c>
      <c r="Q26" s="41">
        <v>1163</v>
      </c>
      <c r="R26" s="41">
        <v>1180</v>
      </c>
      <c r="S26" s="41">
        <v>1616</v>
      </c>
      <c r="T26" s="41">
        <v>1043</v>
      </c>
      <c r="U26" s="41">
        <v>1747</v>
      </c>
      <c r="V26" s="42">
        <v>6749</v>
      </c>
      <c r="W26" s="20"/>
      <c r="X26" s="20"/>
      <c r="Y26" s="20"/>
      <c r="Z26" s="20"/>
      <c r="AA26" s="20"/>
      <c r="AB26" s="20"/>
      <c r="AC26" s="20"/>
      <c r="AD26" s="20"/>
      <c r="AE26" s="20"/>
    </row>
    <row r="27" spans="1:31">
      <c r="A27" s="20"/>
      <c r="B27" s="20"/>
      <c r="C27" s="20"/>
      <c r="D27" s="20"/>
      <c r="E27" s="20"/>
      <c r="F27" s="20"/>
      <c r="G27" s="20"/>
      <c r="H27" s="20"/>
      <c r="I27" s="20"/>
      <c r="J27" s="20"/>
      <c r="K27" s="20"/>
      <c r="L27" s="20"/>
      <c r="M27" s="30" t="str">
        <f>Pivots!G43</f>
        <v>% of calls:19%</v>
      </c>
      <c r="N27" s="20"/>
      <c r="O27" s="20"/>
      <c r="P27" s="40" t="str">
        <v>C0012</v>
      </c>
      <c r="Q27" s="41">
        <v>1438</v>
      </c>
      <c r="R27" s="41">
        <v>1616</v>
      </c>
      <c r="S27" s="41">
        <v>866</v>
      </c>
      <c r="T27" s="41">
        <v>829</v>
      </c>
      <c r="U27" s="41">
        <v>2070</v>
      </c>
      <c r="V27" s="42">
        <v>6819</v>
      </c>
      <c r="W27" s="20"/>
      <c r="X27" s="20"/>
      <c r="Y27" s="20"/>
      <c r="Z27" s="20"/>
      <c r="AA27" s="20"/>
      <c r="AB27" s="20"/>
      <c r="AC27" s="20"/>
      <c r="AD27" s="20"/>
      <c r="AE27" s="20"/>
    </row>
    <row r="28" spans="1:31">
      <c r="A28" s="20"/>
      <c r="B28" s="20"/>
      <c r="C28" s="20"/>
      <c r="D28" s="20"/>
      <c r="E28" s="20"/>
      <c r="F28" s="20"/>
      <c r="G28" s="20"/>
      <c r="H28" s="20"/>
      <c r="I28" s="20"/>
      <c r="J28" s="20"/>
      <c r="K28" s="20"/>
      <c r="L28" s="20"/>
      <c r="M28" s="31" t="str">
        <f>Pivots!G44</f>
        <v>call rank:4</v>
      </c>
      <c r="N28" s="20"/>
      <c r="O28" s="20"/>
      <c r="P28" s="37" t="str">
        <v>Cleveland</v>
      </c>
      <c r="Q28" s="41" t="str">
        <v/>
      </c>
      <c r="R28" s="41" t="str">
        <v/>
      </c>
      <c r="S28" s="41" t="str">
        <v/>
      </c>
      <c r="T28" s="41" t="str">
        <v/>
      </c>
      <c r="U28" s="41" t="str">
        <v/>
      </c>
      <c r="V28" s="42" t="str">
        <v/>
      </c>
      <c r="W28" s="20"/>
      <c r="X28" s="20"/>
      <c r="Y28" s="20"/>
      <c r="Z28" s="20"/>
      <c r="AA28" s="20"/>
      <c r="AB28" s="20"/>
      <c r="AC28" s="20"/>
      <c r="AD28" s="20"/>
      <c r="AE28" s="20"/>
    </row>
    <row r="29" spans="1:31">
      <c r="A29" s="20"/>
      <c r="B29" s="20"/>
      <c r="C29" s="20"/>
      <c r="D29" s="20"/>
      <c r="E29" s="20"/>
      <c r="F29" s="20"/>
      <c r="G29" s="20"/>
      <c r="H29" s="20"/>
      <c r="I29" s="20"/>
      <c r="J29" s="20"/>
      <c r="K29" s="20"/>
      <c r="L29" s="20"/>
      <c r="M29" s="30" t="str">
        <f>Pivots!G45</f>
        <v>Amount rank:4</v>
      </c>
      <c r="N29" s="20"/>
      <c r="O29" s="20"/>
      <c r="P29" s="40" t="str">
        <v>C0002</v>
      </c>
      <c r="Q29" s="41">
        <v>1233</v>
      </c>
      <c r="R29" s="41">
        <v>223</v>
      </c>
      <c r="S29" s="41">
        <v>1680</v>
      </c>
      <c r="T29" s="41">
        <v>990</v>
      </c>
      <c r="U29" s="41">
        <v>1508</v>
      </c>
      <c r="V29" s="42">
        <v>5634</v>
      </c>
      <c r="W29" s="20"/>
      <c r="X29" s="20"/>
      <c r="Y29" s="20"/>
      <c r="Z29" s="20"/>
      <c r="AA29" s="20"/>
      <c r="AB29" s="20"/>
      <c r="AC29" s="20"/>
      <c r="AD29" s="20"/>
      <c r="AE29" s="20"/>
    </row>
    <row r="30" spans="1:31">
      <c r="A30" s="20"/>
      <c r="B30" s="20"/>
      <c r="C30" s="20"/>
      <c r="D30" s="20"/>
      <c r="E30" s="20"/>
      <c r="F30" s="20"/>
      <c r="G30" s="20"/>
      <c r="H30" s="20"/>
      <c r="I30" s="20"/>
      <c r="J30" s="20"/>
      <c r="K30" s="20"/>
      <c r="L30" s="20"/>
      <c r="M30" s="20"/>
      <c r="N30" s="20"/>
      <c r="O30" s="20"/>
      <c r="P30" s="40" t="str">
        <v>C0007</v>
      </c>
      <c r="Q30" s="41">
        <v>1598</v>
      </c>
      <c r="R30" s="41">
        <v>1907</v>
      </c>
      <c r="S30" s="41">
        <v>869</v>
      </c>
      <c r="T30" s="41">
        <v>1426</v>
      </c>
      <c r="U30" s="41">
        <v>1416</v>
      </c>
      <c r="V30" s="42">
        <v>7216</v>
      </c>
      <c r="W30" s="20"/>
      <c r="X30" s="20"/>
      <c r="Y30" s="20"/>
      <c r="Z30" s="20"/>
      <c r="AA30" s="20"/>
      <c r="AB30" s="20"/>
      <c r="AC30" s="20"/>
      <c r="AD30" s="20"/>
      <c r="AE30" s="20"/>
    </row>
    <row r="31" spans="1:31">
      <c r="A31" s="20"/>
      <c r="B31" s="20"/>
      <c r="C31" s="20"/>
      <c r="D31" s="20"/>
      <c r="E31" s="20"/>
      <c r="F31" s="20"/>
      <c r="G31" s="20"/>
      <c r="H31" s="20"/>
      <c r="I31" s="20"/>
      <c r="J31" s="20"/>
      <c r="K31" s="20"/>
      <c r="L31" s="20"/>
      <c r="M31" s="20"/>
      <c r="N31" s="20"/>
      <c r="O31" s="20"/>
      <c r="P31" s="40" t="str">
        <v>C0008</v>
      </c>
      <c r="Q31" s="41">
        <v>900</v>
      </c>
      <c r="R31" s="41">
        <v>1016</v>
      </c>
      <c r="S31" s="41">
        <v>960</v>
      </c>
      <c r="T31" s="41">
        <v>940</v>
      </c>
      <c r="U31" s="41">
        <v>1193</v>
      </c>
      <c r="V31" s="42">
        <v>5009</v>
      </c>
      <c r="W31" s="20"/>
      <c r="X31" s="20"/>
      <c r="Y31" s="20"/>
      <c r="Z31" s="20"/>
      <c r="AA31" s="20"/>
      <c r="AB31" s="20"/>
      <c r="AC31" s="20"/>
      <c r="AD31" s="20"/>
      <c r="AE31" s="20"/>
    </row>
    <row r="32" spans="1:31">
      <c r="A32" s="20"/>
      <c r="B32" s="20"/>
      <c r="C32" s="20"/>
      <c r="D32" s="20"/>
      <c r="E32" s="20"/>
      <c r="F32" s="20"/>
      <c r="G32" s="20"/>
      <c r="H32" s="20"/>
      <c r="I32" s="20"/>
      <c r="J32" s="20"/>
      <c r="K32" s="20"/>
      <c r="L32" s="20"/>
      <c r="M32" s="20"/>
      <c r="N32" s="20"/>
      <c r="O32" s="20"/>
      <c r="P32" s="40" t="str">
        <v>C0010</v>
      </c>
      <c r="Q32" s="41">
        <v>900</v>
      </c>
      <c r="R32" s="41">
        <v>1470</v>
      </c>
      <c r="S32" s="41">
        <v>1617</v>
      </c>
      <c r="T32" s="41">
        <v>1314</v>
      </c>
      <c r="U32" s="41">
        <v>941</v>
      </c>
      <c r="V32" s="42">
        <v>6242</v>
      </c>
      <c r="W32" s="20"/>
      <c r="X32" s="20"/>
      <c r="Y32" s="20"/>
      <c r="Z32" s="20"/>
      <c r="AA32" s="20"/>
      <c r="AB32" s="20"/>
      <c r="AC32" s="20"/>
      <c r="AD32" s="20"/>
      <c r="AE32" s="20"/>
    </row>
    <row r="33" spans="1:31">
      <c r="A33" s="20"/>
      <c r="B33" s="20"/>
      <c r="C33" s="20"/>
      <c r="D33" s="20"/>
      <c r="E33" s="20"/>
      <c r="F33" s="20"/>
      <c r="G33" s="20"/>
      <c r="H33" s="20"/>
      <c r="I33" s="20"/>
      <c r="J33" s="20"/>
      <c r="K33" s="20"/>
      <c r="L33" s="20"/>
      <c r="M33" s="20"/>
      <c r="N33" s="20"/>
      <c r="O33" s="20"/>
      <c r="P33" s="40" t="str">
        <v>C0013</v>
      </c>
      <c r="Q33" s="41">
        <v>1255</v>
      </c>
      <c r="R33" s="41">
        <v>516</v>
      </c>
      <c r="S33" s="41">
        <v>1874</v>
      </c>
      <c r="T33" s="41">
        <v>1863</v>
      </c>
      <c r="U33" s="41">
        <v>1722</v>
      </c>
      <c r="V33" s="42">
        <v>7230</v>
      </c>
      <c r="W33" s="20"/>
      <c r="X33" s="20"/>
      <c r="Y33" s="20"/>
      <c r="Z33" s="20"/>
      <c r="AA33" s="20"/>
      <c r="AB33" s="20"/>
      <c r="AC33" s="20"/>
      <c r="AD33" s="20"/>
      <c r="AE33" s="20"/>
    </row>
    <row r="34" spans="1:31">
      <c r="A34" s="20"/>
      <c r="B34" s="20"/>
      <c r="C34" s="20"/>
      <c r="D34" s="20"/>
      <c r="E34" s="20"/>
      <c r="F34" s="20"/>
      <c r="G34" s="20"/>
      <c r="H34" s="20"/>
      <c r="I34" s="20"/>
      <c r="J34" s="20"/>
      <c r="K34" s="20"/>
      <c r="L34" s="20"/>
      <c r="M34" s="20"/>
      <c r="N34" s="20"/>
      <c r="O34" s="20"/>
      <c r="P34" s="40" t="str">
        <v>C0015</v>
      </c>
      <c r="Q34" s="41">
        <v>1138</v>
      </c>
      <c r="R34" s="41">
        <v>1898</v>
      </c>
      <c r="S34" s="41">
        <v>1482</v>
      </c>
      <c r="T34" s="41">
        <v>846</v>
      </c>
      <c r="U34" s="41">
        <v>1154</v>
      </c>
      <c r="V34" s="42">
        <v>6518</v>
      </c>
      <c r="W34" s="20"/>
      <c r="X34" s="20"/>
      <c r="Y34" s="20"/>
      <c r="Z34" s="20"/>
      <c r="AA34" s="20"/>
      <c r="AB34" s="20"/>
      <c r="AC34" s="20"/>
      <c r="AD34" s="20"/>
      <c r="AE34" s="20"/>
    </row>
    <row r="35" spans="1:31">
      <c r="A35" s="20"/>
      <c r="B35" s="20"/>
      <c r="C35" s="20"/>
      <c r="D35" s="20"/>
      <c r="E35" s="20"/>
      <c r="F35" s="20"/>
      <c r="G35" s="20"/>
      <c r="H35" s="20"/>
      <c r="I35" s="20"/>
      <c r="J35" s="20"/>
      <c r="K35" s="20"/>
      <c r="L35" s="20"/>
      <c r="M35" s="20"/>
      <c r="N35" s="20"/>
      <c r="O35" s="20"/>
      <c r="P35" s="37" t="str">
        <v>Columbus</v>
      </c>
      <c r="Q35" s="41" t="str">
        <v/>
      </c>
      <c r="R35" s="41" t="str">
        <v/>
      </c>
      <c r="S35" s="41" t="str">
        <v/>
      </c>
      <c r="T35" s="41" t="str">
        <v/>
      </c>
      <c r="U35" s="41" t="str">
        <v/>
      </c>
      <c r="V35" s="42" t="str">
        <v/>
      </c>
      <c r="W35" s="20"/>
      <c r="X35" s="20"/>
      <c r="Y35" s="20"/>
      <c r="Z35" s="20"/>
      <c r="AA35" s="20"/>
      <c r="AB35" s="20"/>
      <c r="AC35" s="20"/>
      <c r="AD35" s="20"/>
      <c r="AE35" s="20"/>
    </row>
    <row r="36" spans="1:31">
      <c r="A36" s="20"/>
      <c r="B36" s="20"/>
      <c r="C36" s="20"/>
      <c r="D36" s="20"/>
      <c r="E36" s="20"/>
      <c r="F36" s="20"/>
      <c r="G36" s="20"/>
      <c r="H36" s="20"/>
      <c r="I36" s="20"/>
      <c r="J36" s="20"/>
      <c r="K36" s="20"/>
      <c r="L36" s="20"/>
      <c r="M36" s="20"/>
      <c r="N36" s="20"/>
      <c r="O36" s="20"/>
      <c r="P36" s="40" t="str">
        <v>C0001</v>
      </c>
      <c r="Q36" s="41">
        <v>1655</v>
      </c>
      <c r="R36" s="41">
        <v>805</v>
      </c>
      <c r="S36" s="41">
        <v>2263</v>
      </c>
      <c r="T36" s="41">
        <v>987</v>
      </c>
      <c r="U36" s="41">
        <v>1075</v>
      </c>
      <c r="V36" s="42">
        <v>6785</v>
      </c>
      <c r="W36" s="20"/>
      <c r="X36" s="20"/>
      <c r="Y36" s="20"/>
      <c r="Z36" s="20"/>
      <c r="AA36" s="20"/>
      <c r="AB36" s="20"/>
      <c r="AC36" s="20"/>
      <c r="AD36" s="20"/>
      <c r="AE36" s="20"/>
    </row>
    <row r="37" spans="1:31">
      <c r="A37" s="20"/>
      <c r="B37" s="20"/>
      <c r="C37" s="20"/>
      <c r="D37" s="20"/>
      <c r="E37" s="20"/>
      <c r="F37" s="20"/>
      <c r="G37" s="20"/>
      <c r="H37" s="20"/>
      <c r="I37" s="20"/>
      <c r="J37" s="20"/>
      <c r="K37" s="20"/>
      <c r="L37" s="20"/>
      <c r="M37" s="20"/>
      <c r="N37" s="20"/>
      <c r="O37" s="20"/>
      <c r="P37" s="40" t="str">
        <v>C0005</v>
      </c>
      <c r="Q37" s="41">
        <v>1104</v>
      </c>
      <c r="R37" s="41">
        <v>2280</v>
      </c>
      <c r="S37" s="41">
        <v>1445</v>
      </c>
      <c r="T37" s="41">
        <v>1722</v>
      </c>
      <c r="U37" s="41">
        <v>1196</v>
      </c>
      <c r="V37" s="42">
        <v>7747</v>
      </c>
      <c r="W37" s="20"/>
      <c r="X37" s="20"/>
      <c r="Y37" s="20"/>
      <c r="Z37" s="20"/>
      <c r="AA37" s="20"/>
      <c r="AB37" s="20"/>
      <c r="AC37" s="20"/>
      <c r="AD37" s="20"/>
      <c r="AE37" s="20"/>
    </row>
    <row r="38" spans="1:31">
      <c r="A38" s="20"/>
      <c r="B38" s="20"/>
      <c r="C38" s="20"/>
      <c r="D38" s="20"/>
      <c r="E38" s="20"/>
      <c r="F38" s="20"/>
      <c r="G38" s="20"/>
      <c r="H38" s="20"/>
      <c r="I38" s="20"/>
      <c r="J38" s="20"/>
      <c r="K38" s="20"/>
      <c r="L38" s="20"/>
      <c r="M38" s="20"/>
      <c r="N38" s="20"/>
      <c r="O38" s="20"/>
      <c r="P38" s="40" t="str">
        <v>C0006</v>
      </c>
      <c r="Q38" s="41">
        <v>372</v>
      </c>
      <c r="R38" s="41">
        <v>1818</v>
      </c>
      <c r="S38" s="41">
        <v>1346</v>
      </c>
      <c r="T38" s="41">
        <v>1156</v>
      </c>
      <c r="U38" s="41">
        <v>1484</v>
      </c>
      <c r="V38" s="42">
        <v>6176</v>
      </c>
      <c r="W38" s="20"/>
      <c r="X38" s="20"/>
      <c r="Y38" s="20"/>
      <c r="Z38" s="20"/>
      <c r="AA38" s="20"/>
      <c r="AB38" s="20"/>
      <c r="AC38" s="20"/>
      <c r="AD38" s="20"/>
      <c r="AE38" s="20"/>
    </row>
    <row r="39" spans="1:31">
      <c r="A39" s="20"/>
      <c r="B39" s="20"/>
      <c r="C39" s="20"/>
      <c r="D39" s="20"/>
      <c r="E39" s="20"/>
      <c r="F39" s="20"/>
      <c r="G39" s="20"/>
      <c r="H39" s="20"/>
      <c r="I39" s="20"/>
      <c r="J39" s="20"/>
      <c r="K39" s="20"/>
      <c r="L39" s="20"/>
      <c r="M39" s="20"/>
      <c r="N39" s="20"/>
      <c r="O39" s="20"/>
      <c r="P39" s="40" t="str">
        <v>C0009</v>
      </c>
      <c r="Q39" s="41">
        <v>1415</v>
      </c>
      <c r="R39" s="41">
        <v>1271</v>
      </c>
      <c r="S39" s="41">
        <v>1214</v>
      </c>
      <c r="T39" s="41">
        <v>1135</v>
      </c>
      <c r="U39" s="41">
        <v>1566</v>
      </c>
      <c r="V39" s="42">
        <v>6601</v>
      </c>
      <c r="W39" s="20"/>
      <c r="X39" s="20"/>
      <c r="Y39" s="20"/>
      <c r="Z39" s="20"/>
      <c r="AA39" s="20"/>
      <c r="AB39" s="20"/>
      <c r="AC39" s="20"/>
      <c r="AD39" s="20"/>
    </row>
    <row r="40" spans="1:31">
      <c r="A40" s="20"/>
      <c r="B40" s="20"/>
      <c r="C40" s="20"/>
      <c r="D40" s="20"/>
      <c r="E40" s="20"/>
      <c r="F40" s="20"/>
      <c r="G40" s="20"/>
      <c r="H40" s="20"/>
      <c r="I40" s="20"/>
      <c r="J40" s="20"/>
      <c r="K40" s="20"/>
      <c r="L40" s="20"/>
      <c r="M40" s="20"/>
      <c r="N40" s="20"/>
      <c r="O40" s="20"/>
      <c r="P40" s="40" t="str">
        <v>C0014</v>
      </c>
      <c r="Q40" s="41">
        <v>1362</v>
      </c>
      <c r="R40" s="41">
        <v>1363</v>
      </c>
      <c r="S40" s="41">
        <v>1152</v>
      </c>
      <c r="T40" s="41">
        <v>777</v>
      </c>
      <c r="U40" s="41">
        <v>750</v>
      </c>
      <c r="V40" s="42">
        <v>5404</v>
      </c>
      <c r="W40" s="20"/>
      <c r="X40" s="20"/>
      <c r="Y40" s="20"/>
      <c r="Z40" s="20"/>
      <c r="AA40" s="20"/>
      <c r="AB40" s="20"/>
      <c r="AC40" s="20"/>
      <c r="AD40" s="20"/>
      <c r="AE40" s="20"/>
    </row>
    <row r="41" spans="1:31">
      <c r="A41" s="20"/>
      <c r="B41" s="20"/>
      <c r="C41" s="20"/>
      <c r="D41" s="20"/>
      <c r="E41" s="20"/>
      <c r="F41" s="20"/>
      <c r="G41" s="20"/>
      <c r="H41" s="20"/>
      <c r="I41" s="20"/>
      <c r="J41" s="20"/>
      <c r="K41" s="20"/>
      <c r="L41" s="20"/>
      <c r="M41" s="20"/>
      <c r="N41" s="20"/>
      <c r="O41" s="20"/>
      <c r="P41" s="43"/>
      <c r="Q41" s="44"/>
      <c r="R41" s="44"/>
      <c r="S41" s="44"/>
      <c r="T41" s="44"/>
      <c r="U41" s="44"/>
      <c r="V41" s="45"/>
      <c r="W41" s="20"/>
      <c r="X41" s="20"/>
      <c r="Y41" s="20"/>
      <c r="Z41" s="20"/>
      <c r="AA41" s="20"/>
      <c r="AB41" s="20"/>
      <c r="AC41" s="20"/>
      <c r="AD41" s="20"/>
      <c r="AE41" s="20"/>
    </row>
    <row r="42" spans="1:31">
      <c r="A42" s="20"/>
      <c r="B42" s="20"/>
      <c r="C42" s="20"/>
      <c r="D42" s="20"/>
      <c r="E42" s="20"/>
      <c r="F42" s="20"/>
      <c r="G42" s="20"/>
      <c r="H42" s="20"/>
      <c r="I42" s="20"/>
      <c r="J42" s="20"/>
      <c r="K42" s="20"/>
      <c r="L42" s="20"/>
      <c r="M42" s="20"/>
      <c r="N42" s="20"/>
      <c r="O42" s="20"/>
      <c r="P42" s="46"/>
      <c r="Q42" s="47"/>
      <c r="R42" s="47"/>
      <c r="S42" s="47"/>
      <c r="T42" s="47"/>
      <c r="U42" s="47"/>
      <c r="V42" s="48"/>
      <c r="W42" s="20"/>
      <c r="X42" s="20"/>
      <c r="Y42" s="20"/>
      <c r="Z42" s="20"/>
      <c r="AA42" s="20"/>
      <c r="AB42" s="20"/>
      <c r="AC42" s="20"/>
      <c r="AD42" s="20"/>
      <c r="AE42" s="20"/>
    </row>
    <row r="43" spans="1:3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1:3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1:3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1:3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1:3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1:3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1:3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1:3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1:3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1:3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1:3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1:3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1:3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1:3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1:3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1:3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1:3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1:3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1:3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1:3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sheetData>
  <mergeCells count="1">
    <mergeCell ref="M23:N26"/>
  </mergeCells>
  <conditionalFormatting sqref="Q24:U40">
    <cfRule type="dataBar" priority="2">
      <dataBar>
        <cfvo type="num" val="0"/>
        <cfvo type="formula" val="MAX($Q$23:$U$40)*2"/>
        <color rgb="FF638EC6"/>
      </dataBar>
      <extLst>
        <ext xmlns:x14="http://schemas.microsoft.com/office/spreadsheetml/2009/9/main" uri="{B025F937-C7B1-47D3-B67F-A62EFF666E3E}">
          <x14:id>{58F33E0B-A19D-42A9-AA3C-B1CCA1FDBAA9}</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58F33E0B-A19D-42A9-AA3C-B1CCA1FDBAA9}">
            <x14:dataBar minLength="0" maxLength="100" gradient="0">
              <x14:cfvo type="num">
                <xm:f>0</xm:f>
              </x14:cfvo>
              <x14:cfvo type="formula">
                <xm:f>MAX($Q$23:$U$40)*2</xm:f>
              </x14:cfvo>
              <x14:negativeFillColor rgb="FFFF0000"/>
              <x14:axisColor rgb="FF000000"/>
            </x14:dataBar>
          </x14:cfRule>
          <xm:sqref>Q24:U40</xm:sqref>
        </x14:conditionalFormatting>
        <x14:conditionalFormatting xmlns:xm="http://schemas.microsoft.com/office/excel/2006/main">
          <x14:cfRule type="expression" priority="1" id="{A2C7DB99-786D-4E76-B503-27D6917E61BC}">
            <xm:f>Q$22=Pivots!$A$36</xm:f>
            <x14:dxf>
              <fill>
                <patternFill>
                  <bgColor theme="4" tint="0.39994506668294322"/>
                </patternFill>
              </fill>
              <border>
                <left style="thin">
                  <color theme="1" tint="0.24994659260841701"/>
                </left>
                <right style="thin">
                  <color theme="1" tint="0.24994659260841701"/>
                </right>
                <vertical/>
                <horizontal/>
              </border>
            </x14:dxf>
          </x14:cfRule>
          <xm:sqref>Q22:U40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2" zoomScale="115" zoomScaleNormal="115" workbookViewId="0">
      <selection activeCell="H8" sqref="H8"/>
    </sheetView>
  </sheetViews>
  <sheetFormatPr defaultRowHeight="14"/>
  <cols>
    <col min="5" max="5" width="10.83203125" customWidth="1"/>
    <col min="6" max="6" width="9.83203125" customWidth="1"/>
  </cols>
  <sheetData>
    <row r="2" spans="5:6">
      <c r="E2" t="s">
        <v>1040</v>
      </c>
      <c r="F2" t="s">
        <v>1041</v>
      </c>
    </row>
    <row r="3" spans="5:6" ht="25.5" customHeight="1">
      <c r="E3" t="s">
        <v>11</v>
      </c>
      <c r="F3" t="e" vm="2">
        <v>#VALUE!</v>
      </c>
    </row>
    <row r="4" spans="5:6" ht="25.5" customHeight="1">
      <c r="E4" t="s">
        <v>9</v>
      </c>
      <c r="F4" t="e" vm="3">
        <v>#VALUE!</v>
      </c>
    </row>
    <row r="5" spans="5:6" ht="25.5" customHeight="1">
      <c r="E5" t="s">
        <v>6</v>
      </c>
      <c r="F5" t="e" vm="4">
        <v>#VALUE!</v>
      </c>
    </row>
    <row r="6" spans="5:6" ht="25.5" customHeight="1">
      <c r="E6" t="s">
        <v>13</v>
      </c>
      <c r="F6" t="e" vm="5">
        <v>#VALUE!</v>
      </c>
    </row>
    <row r="7" spans="5:6" ht="25.5" customHeight="1">
      <c r="E7" t="s">
        <v>10</v>
      </c>
      <c r="F7" t="e" vm="6">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76DE8A-8B99-4F60-9BAA-2CBEEB04B3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Shiva kumar Reddy Amanaganti</cp:lastModifiedBy>
  <dcterms:created xsi:type="dcterms:W3CDTF">2021-03-14T20:21:32Z</dcterms:created>
  <dcterms:modified xsi:type="dcterms:W3CDTF">2026-02-24T20:18:19Z</dcterms:modified>
</cp:coreProperties>
</file>